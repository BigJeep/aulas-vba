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4.xml" ContentType="application/vnd.ms-excel.controlproperti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carregar_excel" defaultThemeVersion="166925"/>
  <mc:AlternateContent xmlns:mc="http://schemas.openxmlformats.org/markup-compatibility/2006">
    <mc:Choice Requires="x15">
      <x15ac:absPath xmlns:x15ac="http://schemas.microsoft.com/office/spreadsheetml/2010/11/ac" url="C:\Users\BigJeep\Desktop\pasta dele\Fatec São Caetano\Microinformatica - Humberto\"/>
    </mc:Choice>
  </mc:AlternateContent>
  <xr:revisionPtr revIDLastSave="0" documentId="13_ncr:1_{E9F7284E-EDA0-41B7-958F-0AC21C4B721B}" xr6:coauthVersionLast="47" xr6:coauthVersionMax="47" xr10:uidLastSave="{00000000-0000-0000-0000-000000000000}"/>
  <bookViews>
    <workbookView minimized="1" xWindow="345" yWindow="4110" windowWidth="13755" windowHeight="10890" tabRatio="692" xr2:uid="{00000000-000D-0000-FFFF-FFFF00000000}"/>
  </bookViews>
  <sheets>
    <sheet name="CONTAS" sheetId="1" r:id="rId1"/>
    <sheet name="OPERACIONAL" sheetId="5" r:id="rId2"/>
    <sheet name="PEDIDOS" sheetId="6" r:id="rId3"/>
    <sheet name="ENCERRAR" sheetId="7" r:id="rId4"/>
    <sheet name="VENDAS" sheetId="15" r:id="rId5"/>
    <sheet name="SUBTOTAL" sheetId="9" r:id="rId6"/>
    <sheet name="CONSOLIDAR" sheetId="12" r:id="rId7"/>
    <sheet name="TAB_DINAMICA" sheetId="11" r:id="rId8"/>
    <sheet name="GRAFICO" sheetId="13" r:id="rId9"/>
    <sheet name="PRODUTOS_PEDIDOS" sheetId="17" r:id="rId10"/>
    <sheet name="CONTAS_LOGIN" sheetId="18" r:id="rId11"/>
  </sheets>
  <functionGroups builtInGroupCount="19"/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5" l="1"/>
  <c r="H23" i="15"/>
  <c r="H12" i="15" l="1"/>
  <c r="I12" i="15" s="1"/>
  <c r="H13" i="15"/>
  <c r="I13" i="15" s="1"/>
  <c r="H14" i="15"/>
  <c r="I14" i="15" s="1"/>
  <c r="H15" i="15"/>
  <c r="I15" i="15" s="1"/>
  <c r="H16" i="15"/>
  <c r="I16" i="15" s="1"/>
  <c r="H17" i="15"/>
  <c r="I17" i="15" s="1"/>
  <c r="H18" i="15"/>
  <c r="I18" i="15" s="1"/>
  <c r="H19" i="15"/>
  <c r="I19" i="15" s="1"/>
  <c r="H11" i="15"/>
  <c r="F12" i="15"/>
  <c r="F13" i="15"/>
  <c r="F14" i="15"/>
  <c r="F15" i="15"/>
  <c r="F16" i="15"/>
  <c r="F17" i="15"/>
  <c r="F18" i="15"/>
  <c r="F19" i="15"/>
  <c r="F11" i="15"/>
  <c r="C11" i="15"/>
  <c r="C12" i="15"/>
  <c r="C13" i="15"/>
  <c r="C14" i="15"/>
  <c r="C15" i="15"/>
  <c r="C16" i="15"/>
  <c r="C17" i="15"/>
  <c r="C18" i="15"/>
  <c r="C19" i="15"/>
  <c r="P14" i="15" l="1"/>
  <c r="P12" i="15"/>
  <c r="I11" i="15"/>
  <c r="P11" i="15"/>
  <c r="P19" i="15"/>
  <c r="P18" i="15"/>
  <c r="P17" i="15"/>
  <c r="P15" i="15"/>
  <c r="P16" i="15"/>
  <c r="C142" i="9"/>
  <c r="C134" i="9"/>
  <c r="C125" i="9"/>
  <c r="C118" i="9"/>
  <c r="C111" i="9"/>
  <c r="C106" i="9"/>
  <c r="C97" i="9"/>
  <c r="C89" i="9"/>
  <c r="C82" i="9"/>
  <c r="C72" i="9"/>
  <c r="C62" i="9"/>
  <c r="C56" i="9"/>
  <c r="C48" i="9"/>
  <c r="C39" i="9"/>
  <c r="C32" i="9"/>
  <c r="C25" i="9"/>
  <c r="C143" i="9" s="1"/>
  <c r="C16" i="9"/>
  <c r="H21" i="15" l="1"/>
  <c r="H25" i="15" s="1"/>
  <c r="P13" i="15"/>
  <c r="H20" i="15"/>
</calcChain>
</file>

<file path=xl/sharedStrings.xml><?xml version="1.0" encoding="utf-8"?>
<sst xmlns="http://schemas.openxmlformats.org/spreadsheetml/2006/main" count="510" uniqueCount="178">
  <si>
    <t xml:space="preserve">Empresas </t>
  </si>
  <si>
    <t>Valores</t>
  </si>
  <si>
    <t>Nº Notas Fiscais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</si>
  <si>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</si>
  <si>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</si>
  <si>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</si>
  <si>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</si>
  <si>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</si>
  <si>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</si>
  <si>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</si>
  <si>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</si>
  <si>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</si>
  <si>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</si>
  <si>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</si>
  <si>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</si>
  <si>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</si>
  <si>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NOKIA</t>
  </si>
  <si>
    <t>PHILIPS</t>
  </si>
  <si>
    <t>SAMSUNG</t>
  </si>
  <si>
    <t>SONY</t>
  </si>
  <si>
    <t>Demonstrativo Mensal de Receitas  - Ref. Novebro 2020</t>
  </si>
  <si>
    <t>Elaborar apuração de subtotais, definindo o total de faturamento mensal de cada empresa.</t>
  </si>
  <si>
    <t>fornecedora de produtos.</t>
  </si>
  <si>
    <t>Consolidar a média de faturamento mensal de cada empresa fornecedora de produtos</t>
  </si>
  <si>
    <t>Média Faturamento</t>
  </si>
  <si>
    <t>Produtos</t>
  </si>
  <si>
    <t>Depto</t>
  </si>
  <si>
    <t>Janeiro</t>
  </si>
  <si>
    <t>Fevereiro</t>
  </si>
  <si>
    <t>Março</t>
  </si>
  <si>
    <t>Mouse Óptico sem fio Microsoft</t>
  </si>
  <si>
    <t>Informática</t>
  </si>
  <si>
    <t>Impressora Multi HP</t>
  </si>
  <si>
    <t>Notebook Dell</t>
  </si>
  <si>
    <t>Monitor LCD 19'' AOC</t>
  </si>
  <si>
    <t>Smartphone Nokia N8</t>
  </si>
  <si>
    <t>Telefonia</t>
  </si>
  <si>
    <t>Telefone sem fio Motorola</t>
  </si>
  <si>
    <t>Pen Drive 4GB</t>
  </si>
  <si>
    <t>Notebook Sony Vaio</t>
  </si>
  <si>
    <t>Teclado sem fio Microsoft</t>
  </si>
  <si>
    <t>Roteador Wireless</t>
  </si>
  <si>
    <t>Placa de Captura TV Pinnacle</t>
  </si>
  <si>
    <t>Adaptador Porta USB</t>
  </si>
  <si>
    <t>Kit Multimidia (Cx.Som 5.1)</t>
  </si>
  <si>
    <t>Eletrônicos</t>
  </si>
  <si>
    <t xml:space="preserve">TIMChip Infinity Pré - 128KB </t>
  </si>
  <si>
    <t>Consolidar Valores</t>
  </si>
  <si>
    <t>Elaborar uma tabela dinâmica, conforme referências, como seguem:</t>
  </si>
  <si>
    <t>Demonstrativo Mensal de Receitas - (Entre Janeiro e Março - 2020)</t>
  </si>
  <si>
    <t>Demonstrativo Mensal de Receitas  - Ref. Julho 2020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</si>
  <si>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</si>
  <si>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</si>
  <si>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</si>
  <si>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</si>
  <si>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</si>
  <si>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</si>
  <si>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</si>
  <si>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</si>
  <si>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</si>
  <si>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</si>
  <si>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</si>
  <si>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</si>
  <si>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</si>
  <si>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</si>
  <si>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</si>
  <si>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Demonstrativo  de Receitas Anuais - ref. 2019 / 2020</t>
  </si>
  <si>
    <t>RECEITAS DE VENDAS ANUAIS 2019</t>
  </si>
  <si>
    <t>RECEITAS DE VENDAS ANUAIS 2020</t>
  </si>
  <si>
    <t>Elaborar um gráfico tipo (linha) em uma "nova planilha", traçando um comparativo de vendas mensais em relação a meta da referida empresa.</t>
  </si>
  <si>
    <t>ID DO CLIENTE</t>
  </si>
  <si>
    <t>DADOS DO CLIENTE</t>
  </si>
  <si>
    <t>Nome do Cliente</t>
  </si>
  <si>
    <t>CPF / CNPJ</t>
  </si>
  <si>
    <t>RG.</t>
  </si>
  <si>
    <t>DADOS DO(S) PRODUTO(S)</t>
  </si>
  <si>
    <t>ESTATÍSTICAS GERAIS - PRODUTOS</t>
  </si>
  <si>
    <t>DESCRIÇÃO DO PRODUTO</t>
  </si>
  <si>
    <t>DEPTO</t>
  </si>
  <si>
    <t>QTDE</t>
  </si>
  <si>
    <t>$ UNITÁRIO</t>
  </si>
  <si>
    <t>SUBTOTAL</t>
  </si>
  <si>
    <t>Segundo Menor $ Unitário</t>
  </si>
  <si>
    <t>Quarto Maior $ Unitário</t>
  </si>
  <si>
    <t>Média global do subtotal</t>
  </si>
  <si>
    <t>Subtotal - Produtos informática</t>
  </si>
  <si>
    <t>Subtotal - Produtos telefonia</t>
  </si>
  <si>
    <t>Subtotal - Produtos eletrônicos</t>
  </si>
  <si>
    <t>Qtde produtos de informática</t>
  </si>
  <si>
    <t>Qtde produtos de telefonia</t>
  </si>
  <si>
    <t>Qtde produtos eletrônicos</t>
  </si>
  <si>
    <t>Subtotal parcial</t>
  </si>
  <si>
    <t>Referências - Forma de Pagamento</t>
  </si>
  <si>
    <t>Forma de pagamento</t>
  </si>
  <si>
    <t>À Vista</t>
  </si>
  <si>
    <t>Desconto 20%</t>
  </si>
  <si>
    <t>Desconto concedido</t>
  </si>
  <si>
    <t>À Prazo - cheque</t>
  </si>
  <si>
    <t>Juros de 4,75%</t>
  </si>
  <si>
    <t>Valor da parcela - 3X</t>
  </si>
  <si>
    <t>3 vezes</t>
  </si>
  <si>
    <t>Juros de 9,69%</t>
  </si>
  <si>
    <t>Total a pagar</t>
  </si>
  <si>
    <t>Cartão Crédito</t>
  </si>
  <si>
    <t>Desconto 5%</t>
  </si>
  <si>
    <t>ID PRODUTO</t>
  </si>
  <si>
    <t>TV Led 40'' Samsung</t>
  </si>
  <si>
    <t>Blu-Ray e DVD Player  - Sony</t>
  </si>
  <si>
    <t>Home Theater - Philips</t>
  </si>
  <si>
    <t>Nextel i897 Ferrari</t>
  </si>
  <si>
    <t>Antena de TV DHTV - Benq</t>
  </si>
  <si>
    <t>Leitor de Código de Barras</t>
  </si>
  <si>
    <t>Vivo Chip Avulso DDD 11</t>
  </si>
  <si>
    <t>Chip Claro 128K Pré-Pago - DDD11</t>
  </si>
  <si>
    <t>TV 40" LED 3D Full HD - Samsung</t>
  </si>
  <si>
    <t>Nobreak Logitech 127w</t>
  </si>
  <si>
    <t>Motorola EX115 Preto - GSM</t>
  </si>
  <si>
    <t>DVD Player Automotivo - Buster</t>
  </si>
  <si>
    <t>ID PEDIDO</t>
  </si>
  <si>
    <t>CPF</t>
  </si>
  <si>
    <t>NOME DO CLIENTE</t>
  </si>
  <si>
    <t>RG</t>
  </si>
  <si>
    <t>PRODUTO COMPRADO</t>
  </si>
  <si>
    <t xml:space="preserve">QTDE </t>
  </si>
  <si>
    <t>VALOR TOTAL</t>
  </si>
  <si>
    <t>VALOR UNITÁRIO</t>
  </si>
  <si>
    <t>DATA COMPRA</t>
  </si>
  <si>
    <t>HORA COMPRA</t>
  </si>
  <si>
    <t>CATEGORIA</t>
  </si>
  <si>
    <t>RELAÇÃO GERAL DE PRODUTOS</t>
  </si>
  <si>
    <t>RELAÇÃO GERAL DE COMPRAS EFETUADAS PELOS CLIENTES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</si>
  <si>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</si>
  <si>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</si>
  <si>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</si>
  <si>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</si>
  <si>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</si>
  <si>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</si>
  <si>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</si>
  <si>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</si>
  <si>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</si>
  <si>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</si>
  <si>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</si>
  <si>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</si>
  <si>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</si>
  <si>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</si>
  <si>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</si>
  <si>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</si>
  <si>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</si>
  <si>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</si>
  <si>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 xml:space="preserve"> </t>
  </si>
  <si>
    <t>SENHA</t>
  </si>
  <si>
    <t>USUÁRIO</t>
  </si>
  <si>
    <t>TIPO CONTA</t>
  </si>
  <si>
    <t>ID CONTA</t>
  </si>
  <si>
    <t>E-MAIL</t>
  </si>
  <si>
    <t>STATUS</t>
  </si>
  <si>
    <t>LISTA DE CONTAS - LOGIN</t>
  </si>
  <si>
    <t>teste</t>
  </si>
  <si>
    <t>teste@teste.com</t>
  </si>
  <si>
    <t>Outro</t>
  </si>
  <si>
    <t>ATIVA</t>
  </si>
  <si>
    <t>testea</t>
  </si>
  <si>
    <t>teste@aaa.com</t>
  </si>
  <si>
    <t>aaa</t>
  </si>
  <si>
    <t>Administrador</t>
  </si>
  <si>
    <t>BLOQUEADA</t>
  </si>
  <si>
    <t>Row Labels</t>
  </si>
  <si>
    <t>Sum of Janeiro</t>
  </si>
  <si>
    <t>Grand Total</t>
  </si>
  <si>
    <t>Sum of Fevereiro</t>
  </si>
  <si>
    <t>Sum of Março</t>
  </si>
  <si>
    <t>(All)</t>
  </si>
  <si>
    <t>1234</t>
  </si>
  <si>
    <t>conta teste de novo</t>
  </si>
  <si>
    <t>aaa@bbb.com</t>
  </si>
  <si>
    <t>testeSenha</t>
  </si>
  <si>
    <t>teste@senha.com</t>
  </si>
  <si>
    <t>Aa123"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</si>
</sst>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&quot;R$ &quot;#,##0.00"/>
    <numFmt numFmtId="166" formatCode="&quot;R$ &quot;#,##0.00_);\(&quot;R$ &quot;#,##0.00\)"/>
    <numFmt numFmtId="167" formatCode="_(&quot;R$ &quot;* #,##0.00_);_(&quot;R$ &quot;* \(#,##0.00\);_(&quot;R$ &quot;* &quot;-&quot;??_);_(@_)"/>
  </numFmts>
  <fonts count="42" x14ac:knownFonts="1">
    <font>
      <sz val="11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0"/>
      <name val="Barlow Black"/>
      <family val="3"/>
    </font>
    <font>
      <b/>
      <sz val="28"/>
      <color theme="0"/>
      <name val="Cooper Black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Cooper Black"/>
      <family val="1"/>
    </font>
    <font>
      <b/>
      <sz val="16"/>
      <color theme="0"/>
      <name val="Calisto MT"/>
      <family val="1"/>
    </font>
    <font>
      <sz val="16"/>
      <color theme="0"/>
      <name val="Calisto MT"/>
      <family val="1"/>
    </font>
    <font>
      <sz val="16"/>
      <color theme="1"/>
      <name val="Calisto MT"/>
      <family val="1"/>
    </font>
    <font>
      <sz val="11"/>
      <color theme="1"/>
      <name val="Calisto MT"/>
      <family val="1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0"/>
      <color indexed="9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i/>
      <sz val="14"/>
      <name val="Arial"/>
      <family val="2"/>
    </font>
    <font>
      <b/>
      <sz val="14"/>
      <color theme="3" tint="-0.499984740745262"/>
      <name val="Arial"/>
      <family val="2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i/>
      <sz val="10"/>
      <color rgb="FFFF0000"/>
      <name val="Arial"/>
      <family val="2"/>
    </font>
    <font>
      <b/>
      <i/>
      <sz val="10"/>
      <color theme="2" tint="-0.89999084444715716"/>
      <name val="Arial"/>
      <family val="2"/>
    </font>
    <font>
      <i/>
      <sz val="11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 Rounded MT Bold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4" tint="-0.499984740745262"/>
      <name val="Arial"/>
      <family val="2"/>
    </font>
    <font>
      <b/>
      <i/>
      <sz val="10"/>
      <color theme="4" tint="-0.499984740745262"/>
      <name val="Calibri"/>
      <family val="2"/>
      <scheme val="minor"/>
    </font>
    <font>
      <b/>
      <i/>
      <sz val="10"/>
      <color theme="3" tint="-0.499984740745262"/>
      <name val="Arial"/>
      <family val="2"/>
    </font>
    <font>
      <sz val="11"/>
      <color rgb="FF000000"/>
      <name val="Calibri"/>
      <family val="2"/>
    </font>
    <font>
      <b/>
      <i/>
      <sz val="10"/>
      <color indexed="9"/>
      <name val="Arial"/>
      <family val="2"/>
    </font>
    <font>
      <b/>
      <i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8294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7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7" fillId="0" borderId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241">
    <xf numFmtId="0" fontId="0" fillId="0" borderId="0" xfId="0"/>
    <xf numFmtId="0" fontId="0" fillId="2" borderId="0" xfId="0" applyFill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5" fontId="0" fillId="0" borderId="0" xfId="0" applyNumberFormat="1"/>
    <xf numFmtId="1" fontId="9" fillId="4" borderId="4" xfId="0" applyNumberFormat="1" applyFont="1" applyFill="1" applyBorder="1" applyAlignment="1">
      <alignment horizontal="center"/>
    </xf>
    <xf numFmtId="165" fontId="9" fillId="4" borderId="4" xfId="0" applyNumberFormat="1" applyFont="1" applyFill="1" applyBorder="1" applyAlignment="1">
      <alignment horizontal="center"/>
    </xf>
    <xf numFmtId="1" fontId="5" fillId="3" borderId="5" xfId="0" applyNumberFormat="1" applyFont="1" applyFill="1" applyBorder="1"/>
    <xf numFmtId="164" fontId="5" fillId="3" borderId="5" xfId="2" applyFont="1" applyFill="1" applyBorder="1" applyAlignment="1">
      <alignment horizontal="left"/>
    </xf>
    <xf numFmtId="1" fontId="7" fillId="3" borderId="5" xfId="0" applyNumberFormat="1" applyFont="1" applyFill="1" applyBorder="1" applyAlignment="1">
      <alignment horizontal="center"/>
    </xf>
    <xf numFmtId="164" fontId="5" fillId="3" borderId="6" xfId="2" applyFont="1" applyFill="1" applyBorder="1" applyAlignment="1">
      <alignment horizontal="left"/>
    </xf>
    <xf numFmtId="1" fontId="7" fillId="3" borderId="6" xfId="0" applyNumberFormat="1" applyFont="1" applyFill="1" applyBorder="1" applyAlignment="1">
      <alignment horizontal="center"/>
    </xf>
    <xf numFmtId="1" fontId="5" fillId="3" borderId="6" xfId="0" applyNumberFormat="1" applyFont="1" applyFill="1" applyBorder="1"/>
    <xf numFmtId="0" fontId="7" fillId="3" borderId="6" xfId="0" applyFont="1" applyFill="1" applyBorder="1" applyAlignment="1">
      <alignment horizontal="center"/>
    </xf>
    <xf numFmtId="1" fontId="5" fillId="3" borderId="7" xfId="0" applyNumberFormat="1" applyFont="1" applyFill="1" applyBorder="1"/>
    <xf numFmtId="164" fontId="5" fillId="3" borderId="7" xfId="2" applyFont="1" applyFill="1" applyBorder="1" applyAlignment="1">
      <alignment horizontal="left"/>
    </xf>
    <xf numFmtId="1" fontId="7" fillId="3" borderId="7" xfId="0" applyNumberFormat="1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7" fillId="0" borderId="0" xfId="0" applyFont="1" applyAlignment="1">
      <alignment horizontal="left"/>
    </xf>
    <xf numFmtId="1" fontId="9" fillId="4" borderId="8" xfId="0" applyNumberFormat="1" applyFont="1" applyFill="1" applyBorder="1" applyAlignment="1">
      <alignment horizontal="center"/>
    </xf>
    <xf numFmtId="165" fontId="9" fillId="4" borderId="8" xfId="0" applyNumberFormat="1" applyFont="1" applyFill="1" applyBorder="1" applyAlignment="1">
      <alignment horizontal="center"/>
    </xf>
    <xf numFmtId="1" fontId="16" fillId="3" borderId="9" xfId="0" applyNumberFormat="1" applyFont="1" applyFill="1" applyBorder="1" applyAlignment="1">
      <alignment horizontal="left"/>
    </xf>
    <xf numFmtId="1" fontId="16" fillId="3" borderId="6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left"/>
    </xf>
    <xf numFmtId="0" fontId="16" fillId="3" borderId="7" xfId="0" applyFont="1" applyFill="1" applyBorder="1" applyAlignment="1">
      <alignment horizontal="left"/>
    </xf>
    <xf numFmtId="165" fontId="9" fillId="0" borderId="0" xfId="0" applyNumberFormat="1" applyFont="1" applyAlignment="1">
      <alignment horizontal="center"/>
    </xf>
    <xf numFmtId="1" fontId="5" fillId="0" borderId="0" xfId="0" applyNumberFormat="1" applyFont="1"/>
    <xf numFmtId="164" fontId="5" fillId="0" borderId="0" xfId="2" applyFont="1" applyFill="1" applyBorder="1" applyAlignment="1">
      <alignment horizontal="left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4" fontId="16" fillId="0" borderId="0" xfId="2" applyFont="1" applyFill="1" applyBorder="1" applyAlignment="1">
      <alignment horizontal="center"/>
    </xf>
    <xf numFmtId="0" fontId="16" fillId="0" borderId="0" xfId="0" applyFont="1" applyAlignment="1">
      <alignment horizontal="left"/>
    </xf>
    <xf numFmtId="0" fontId="18" fillId="3" borderId="16" xfId="3" applyFont="1" applyFill="1" applyBorder="1" applyAlignment="1">
      <alignment wrapText="1"/>
    </xf>
    <xf numFmtId="0" fontId="5" fillId="3" borderId="13" xfId="0" applyFont="1" applyFill="1" applyBorder="1" applyAlignment="1">
      <alignment horizontal="center"/>
    </xf>
    <xf numFmtId="164" fontId="5" fillId="3" borderId="13" xfId="0" applyNumberFormat="1" applyFont="1" applyFill="1" applyBorder="1" applyAlignment="1">
      <alignment horizontal="center"/>
    </xf>
    <xf numFmtId="164" fontId="5" fillId="3" borderId="13" xfId="0" applyNumberFormat="1" applyFont="1" applyFill="1" applyBorder="1"/>
    <xf numFmtId="164" fontId="5" fillId="3" borderId="17" xfId="0" applyNumberFormat="1" applyFont="1" applyFill="1" applyBorder="1"/>
    <xf numFmtId="0" fontId="5" fillId="3" borderId="16" xfId="0" applyFont="1" applyFill="1" applyBorder="1"/>
    <xf numFmtId="0" fontId="5" fillId="3" borderId="18" xfId="0" applyFont="1" applyFill="1" applyBorder="1"/>
    <xf numFmtId="0" fontId="5" fillId="3" borderId="19" xfId="0" applyFont="1" applyFill="1" applyBorder="1" applyAlignment="1">
      <alignment horizontal="center"/>
    </xf>
    <xf numFmtId="164" fontId="5" fillId="3" borderId="19" xfId="0" applyNumberFormat="1" applyFont="1" applyFill="1" applyBorder="1" applyAlignment="1">
      <alignment horizontal="center"/>
    </xf>
    <xf numFmtId="164" fontId="5" fillId="3" borderId="19" xfId="0" applyNumberFormat="1" applyFont="1" applyFill="1" applyBorder="1"/>
    <xf numFmtId="164" fontId="5" fillId="3" borderId="20" xfId="0" applyNumberFormat="1" applyFont="1" applyFill="1" applyBorder="1"/>
    <xf numFmtId="0" fontId="18" fillId="3" borderId="21" xfId="3" applyFont="1" applyFill="1" applyBorder="1" applyAlignment="1">
      <alignment wrapText="1"/>
    </xf>
    <xf numFmtId="0" fontId="5" fillId="3" borderId="22" xfId="0" applyFont="1" applyFill="1" applyBorder="1" applyAlignment="1">
      <alignment horizontal="center"/>
    </xf>
    <xf numFmtId="164" fontId="5" fillId="3" borderId="22" xfId="0" applyNumberFormat="1" applyFont="1" applyFill="1" applyBorder="1" applyAlignment="1">
      <alignment horizontal="center"/>
    </xf>
    <xf numFmtId="164" fontId="5" fillId="3" borderId="22" xfId="0" applyNumberFormat="1" applyFont="1" applyFill="1" applyBorder="1"/>
    <xf numFmtId="164" fontId="5" fillId="3" borderId="23" xfId="0" applyNumberFormat="1" applyFont="1" applyFill="1" applyBorder="1"/>
    <xf numFmtId="0" fontId="19" fillId="4" borderId="24" xfId="3" applyFont="1" applyFill="1" applyBorder="1" applyAlignment="1">
      <alignment horizontal="center" wrapText="1"/>
    </xf>
    <xf numFmtId="164" fontId="19" fillId="4" borderId="25" xfId="2" applyFont="1" applyFill="1" applyBorder="1" applyAlignment="1">
      <alignment horizontal="center" wrapText="1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0" xfId="0" applyNumberFormat="1" applyFont="1"/>
    <xf numFmtId="0" fontId="5" fillId="0" borderId="0" xfId="0" applyFont="1"/>
    <xf numFmtId="0" fontId="20" fillId="0" borderId="0" xfId="0" applyFont="1" applyAlignment="1">
      <alignment horizontal="center" vertical="center"/>
    </xf>
    <xf numFmtId="166" fontId="21" fillId="0" borderId="0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166" fontId="7" fillId="3" borderId="15" xfId="1" applyNumberFormat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7" fontId="7" fillId="3" borderId="9" xfId="2" applyNumberFormat="1" applyFont="1" applyFill="1" applyBorder="1" applyAlignment="1">
      <alignment horizontal="center" vertical="center"/>
    </xf>
    <xf numFmtId="166" fontId="7" fillId="3" borderId="17" xfId="1" applyNumberFormat="1" applyFont="1" applyFill="1" applyBorder="1" applyAlignment="1">
      <alignment horizontal="center" vertical="center"/>
    </xf>
    <xf numFmtId="167" fontId="7" fillId="3" borderId="5" xfId="2" applyNumberFormat="1" applyFont="1" applyFill="1" applyBorder="1" applyAlignment="1">
      <alignment horizontal="center" vertical="center"/>
    </xf>
    <xf numFmtId="166" fontId="7" fillId="3" borderId="20" xfId="1" applyNumberFormat="1" applyFont="1" applyFill="1" applyBorder="1" applyAlignment="1">
      <alignment horizontal="center" vertical="center"/>
    </xf>
    <xf numFmtId="167" fontId="7" fillId="3" borderId="28" xfId="2" applyNumberFormat="1" applyFont="1" applyFill="1" applyBorder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quotePrefix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0" borderId="0" xfId="0" applyFont="1" applyAlignment="1">
      <alignment horizontal="center"/>
    </xf>
    <xf numFmtId="1" fontId="5" fillId="2" borderId="0" xfId="0" applyNumberFormat="1" applyFont="1" applyFill="1"/>
    <xf numFmtId="164" fontId="5" fillId="2" borderId="0" xfId="2" applyFont="1" applyFill="1" applyBorder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5" fillId="3" borderId="46" xfId="0" applyFont="1" applyFill="1" applyBorder="1" applyAlignment="1">
      <alignment horizontal="left"/>
    </xf>
    <xf numFmtId="0" fontId="5" fillId="3" borderId="49" xfId="0" applyFont="1" applyFill="1" applyBorder="1" applyAlignment="1">
      <alignment horizontal="left"/>
    </xf>
    <xf numFmtId="0" fontId="5" fillId="3" borderId="44" xfId="0" applyFont="1" applyFill="1" applyBorder="1" applyAlignment="1">
      <alignment horizontal="left"/>
    </xf>
    <xf numFmtId="0" fontId="5" fillId="3" borderId="50" xfId="0" applyFont="1" applyFill="1" applyBorder="1" applyAlignment="1">
      <alignment horizontal="left"/>
    </xf>
    <xf numFmtId="0" fontId="2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4" fillId="8" borderId="4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/>
    </xf>
    <xf numFmtId="1" fontId="29" fillId="3" borderId="5" xfId="0" applyNumberFormat="1" applyFont="1" applyFill="1" applyBorder="1" applyAlignment="1">
      <alignment horizontal="center"/>
    </xf>
    <xf numFmtId="1" fontId="29" fillId="3" borderId="6" xfId="0" applyNumberFormat="1" applyFont="1" applyFill="1" applyBorder="1" applyAlignment="1">
      <alignment horizontal="center"/>
    </xf>
    <xf numFmtId="164" fontId="28" fillId="0" borderId="0" xfId="2" applyFont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3" fillId="7" borderId="1" xfId="0" applyFont="1" applyFill="1" applyBorder="1" applyAlignment="1">
      <alignment vertical="center"/>
    </xf>
    <xf numFmtId="0" fontId="23" fillId="7" borderId="46" xfId="0" applyFont="1" applyFill="1" applyBorder="1" applyAlignment="1">
      <alignment horizontal="center" vertical="center"/>
    </xf>
    <xf numFmtId="0" fontId="23" fillId="7" borderId="45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/>
    </xf>
    <xf numFmtId="0" fontId="23" fillId="7" borderId="46" xfId="0" applyFont="1" applyFill="1" applyBorder="1"/>
    <xf numFmtId="0" fontId="23" fillId="7" borderId="10" xfId="0" applyFont="1" applyFill="1" applyBorder="1"/>
    <xf numFmtId="0" fontId="23" fillId="7" borderId="44" xfId="0" applyFont="1" applyFill="1" applyBorder="1"/>
    <xf numFmtId="0" fontId="23" fillId="7" borderId="11" xfId="0" applyFont="1" applyFill="1" applyBorder="1"/>
    <xf numFmtId="0" fontId="23" fillId="7" borderId="45" xfId="0" applyFont="1" applyFill="1" applyBorder="1"/>
    <xf numFmtId="0" fontId="23" fillId="7" borderId="12" xfId="0" applyFont="1" applyFill="1" applyBorder="1"/>
    <xf numFmtId="0" fontId="10" fillId="2" borderId="0" xfId="0" applyFont="1" applyFill="1"/>
    <xf numFmtId="0" fontId="20" fillId="6" borderId="4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165" fontId="31" fillId="6" borderId="4" xfId="0" applyNumberFormat="1" applyFont="1" applyFill="1" applyBorder="1" applyAlignment="1">
      <alignment horizontal="center"/>
    </xf>
    <xf numFmtId="0" fontId="36" fillId="3" borderId="9" xfId="3" applyFont="1" applyFill="1" applyBorder="1" applyAlignment="1">
      <alignment horizontal="center" wrapText="1"/>
    </xf>
    <xf numFmtId="0" fontId="36" fillId="3" borderId="9" xfId="3" applyFont="1" applyFill="1" applyBorder="1" applyAlignment="1">
      <alignment wrapText="1"/>
    </xf>
    <xf numFmtId="164" fontId="36" fillId="3" borderId="9" xfId="5" applyFont="1" applyFill="1" applyBorder="1" applyAlignment="1">
      <alignment horizontal="center" wrapText="1"/>
    </xf>
    <xf numFmtId="0" fontId="37" fillId="3" borderId="52" xfId="0" applyFont="1" applyFill="1" applyBorder="1" applyAlignment="1">
      <alignment horizontal="center"/>
    </xf>
    <xf numFmtId="164" fontId="35" fillId="0" borderId="0" xfId="0" applyNumberFormat="1" applyFont="1"/>
    <xf numFmtId="1" fontId="38" fillId="3" borderId="4" xfId="2" applyNumberFormat="1" applyFont="1" applyFill="1" applyBorder="1" applyAlignment="1">
      <alignment horizontal="center"/>
    </xf>
    <xf numFmtId="0" fontId="38" fillId="3" borderId="4" xfId="0" applyFont="1" applyFill="1" applyBorder="1" applyAlignment="1">
      <alignment horizontal="center"/>
    </xf>
    <xf numFmtId="1" fontId="38" fillId="3" borderId="4" xfId="0" applyNumberFormat="1" applyFont="1" applyFill="1" applyBorder="1" applyAlignment="1">
      <alignment horizontal="center"/>
    </xf>
    <xf numFmtId="164" fontId="38" fillId="3" borderId="4" xfId="0" applyNumberFormat="1" applyFont="1" applyFill="1" applyBorder="1" applyAlignment="1">
      <alignment horizontal="center"/>
    </xf>
    <xf numFmtId="14" fontId="38" fillId="3" borderId="4" xfId="0" applyNumberFormat="1" applyFont="1" applyFill="1" applyBorder="1" applyAlignment="1">
      <alignment horizontal="center"/>
    </xf>
    <xf numFmtId="18" fontId="38" fillId="3" borderId="4" xfId="0" applyNumberFormat="1" applyFont="1" applyFill="1" applyBorder="1" applyAlignment="1">
      <alignment horizontal="center"/>
    </xf>
    <xf numFmtId="0" fontId="36" fillId="3" borderId="6" xfId="3" applyFont="1" applyFill="1" applyBorder="1" applyAlignment="1">
      <alignment horizontal="center" wrapText="1"/>
    </xf>
    <xf numFmtId="0" fontId="36" fillId="3" borderId="6" xfId="3" applyFont="1" applyFill="1" applyBorder="1" applyAlignment="1">
      <alignment wrapText="1"/>
    </xf>
    <xf numFmtId="164" fontId="36" fillId="3" borderId="6" xfId="5" applyFont="1" applyFill="1" applyBorder="1" applyAlignment="1">
      <alignment horizontal="center" wrapText="1"/>
    </xf>
    <xf numFmtId="0" fontId="37" fillId="3" borderId="11" xfId="0" applyFont="1" applyFill="1" applyBorder="1" applyAlignment="1">
      <alignment horizontal="center"/>
    </xf>
    <xf numFmtId="0" fontId="37" fillId="3" borderId="6" xfId="0" applyFont="1" applyFill="1" applyBorder="1"/>
    <xf numFmtId="0" fontId="37" fillId="3" borderId="53" xfId="0" applyFont="1" applyFill="1" applyBorder="1"/>
    <xf numFmtId="0" fontId="33" fillId="0" borderId="0" xfId="0" applyFont="1" applyAlignment="1">
      <alignment horizontal="left"/>
    </xf>
    <xf numFmtId="0" fontId="34" fillId="0" borderId="0" xfId="0" applyFont="1"/>
    <xf numFmtId="0" fontId="34" fillId="2" borderId="0" xfId="0" applyFont="1" applyFill="1"/>
    <xf numFmtId="164" fontId="37" fillId="3" borderId="6" xfId="5" applyFont="1" applyFill="1" applyBorder="1"/>
    <xf numFmtId="0" fontId="36" fillId="3" borderId="7" xfId="3" applyFont="1" applyFill="1" applyBorder="1" applyAlignment="1">
      <alignment horizontal="center" wrapText="1"/>
    </xf>
    <xf numFmtId="0" fontId="37" fillId="3" borderId="7" xfId="0" applyFont="1" applyFill="1" applyBorder="1"/>
    <xf numFmtId="164" fontId="37" fillId="3" borderId="7" xfId="5" applyFont="1" applyFill="1" applyBorder="1"/>
    <xf numFmtId="1" fontId="5" fillId="3" borderId="0" xfId="0" applyNumberFormat="1" applyFont="1" applyFill="1"/>
    <xf numFmtId="164" fontId="5" fillId="3" borderId="0" xfId="2" applyFont="1" applyFill="1" applyBorder="1" applyAlignment="1">
      <alignment horizontal="left"/>
    </xf>
    <xf numFmtId="1" fontId="7" fillId="3" borderId="0" xfId="0" applyNumberFormat="1" applyFont="1" applyFill="1" applyAlignment="1">
      <alignment horizontal="center"/>
    </xf>
    <xf numFmtId="164" fontId="16" fillId="3" borderId="10" xfId="2" applyFont="1" applyFill="1" applyBorder="1" applyAlignment="1">
      <alignment horizontal="center"/>
    </xf>
    <xf numFmtId="164" fontId="16" fillId="3" borderId="11" xfId="2" applyFont="1" applyFill="1" applyBorder="1" applyAlignment="1">
      <alignment horizontal="center"/>
    </xf>
    <xf numFmtId="164" fontId="16" fillId="3" borderId="12" xfId="2" applyFont="1" applyFill="1" applyBorder="1" applyAlignment="1">
      <alignment horizontal="center"/>
    </xf>
    <xf numFmtId="164" fontId="36" fillId="3" borderId="52" xfId="5" applyFont="1" applyFill="1" applyBorder="1" applyAlignment="1">
      <alignment horizontal="center" wrapText="1"/>
    </xf>
    <xf numFmtId="164" fontId="36" fillId="3" borderId="11" xfId="5" applyFont="1" applyFill="1" applyBorder="1" applyAlignment="1">
      <alignment horizontal="center" wrapText="1"/>
    </xf>
    <xf numFmtId="164" fontId="37" fillId="3" borderId="11" xfId="5" applyFont="1" applyFill="1" applyBorder="1"/>
    <xf numFmtId="164" fontId="37" fillId="3" borderId="12" xfId="5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0" xfId="0" applyFill="1" applyAlignment="1">
      <alignment horizontal="left"/>
    </xf>
    <xf numFmtId="164" fontId="0" fillId="3" borderId="0" xfId="0" applyNumberFormat="1" applyFill="1"/>
    <xf numFmtId="164" fontId="41" fillId="10" borderId="11" xfId="5" applyFont="1" applyFill="1" applyBorder="1" applyAlignment="1">
      <alignment horizontal="center" wrapText="1"/>
    </xf>
    <xf numFmtId="0" fontId="40" fillId="9" borderId="11" xfId="0" applyFont="1" applyFill="1" applyBorder="1" applyAlignment="1">
      <alignment horizontal="center"/>
    </xf>
    <xf numFmtId="0" fontId="29" fillId="3" borderId="45" xfId="0" applyFont="1" applyFill="1" applyBorder="1" applyAlignment="1">
      <alignment horizontal="center"/>
    </xf>
    <xf numFmtId="0" fontId="29" fillId="3" borderId="1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29" fillId="3" borderId="14" xfId="2" applyFont="1" applyFill="1" applyBorder="1" applyAlignment="1">
      <alignment horizontal="center"/>
    </xf>
    <xf numFmtId="164" fontId="29" fillId="3" borderId="47" xfId="2" applyFont="1" applyFill="1" applyBorder="1" applyAlignment="1">
      <alignment horizontal="center"/>
    </xf>
    <xf numFmtId="164" fontId="29" fillId="3" borderId="15" xfId="2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2" fillId="6" borderId="2" xfId="0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0" fontId="7" fillId="3" borderId="44" xfId="0" applyFont="1" applyFill="1" applyBorder="1" applyAlignment="1">
      <alignment horizontal="center"/>
    </xf>
    <xf numFmtId="0" fontId="7" fillId="3" borderId="48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164" fontId="29" fillId="3" borderId="16" xfId="2" applyFont="1" applyFill="1" applyBorder="1" applyAlignment="1">
      <alignment horizontal="center"/>
    </xf>
    <xf numFmtId="164" fontId="29" fillId="3" borderId="13" xfId="2" applyFont="1" applyFill="1" applyBorder="1" applyAlignment="1">
      <alignment horizontal="center"/>
    </xf>
    <xf numFmtId="164" fontId="29" fillId="3" borderId="17" xfId="2" applyFont="1" applyFill="1" applyBorder="1" applyAlignment="1">
      <alignment horizontal="center"/>
    </xf>
    <xf numFmtId="164" fontId="29" fillId="3" borderId="18" xfId="2" applyFont="1" applyFill="1" applyBorder="1" applyAlignment="1">
      <alignment horizontal="center"/>
    </xf>
    <xf numFmtId="164" fontId="29" fillId="3" borderId="19" xfId="2" applyFont="1" applyFill="1" applyBorder="1" applyAlignment="1">
      <alignment horizontal="center"/>
    </xf>
    <xf numFmtId="164" fontId="29" fillId="3" borderId="20" xfId="2" applyFont="1" applyFill="1" applyBorder="1" applyAlignment="1">
      <alignment horizontal="center"/>
    </xf>
    <xf numFmtId="0" fontId="5" fillId="3" borderId="45" xfId="0" applyFont="1" applyFill="1" applyBorder="1" applyAlignment="1">
      <alignment horizontal="left"/>
    </xf>
    <xf numFmtId="0" fontId="5" fillId="3" borderId="34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29" fillId="3" borderId="44" xfId="0" applyFont="1" applyFill="1" applyBorder="1" applyAlignment="1">
      <alignment horizontal="left"/>
    </xf>
    <xf numFmtId="0" fontId="29" fillId="3" borderId="48" xfId="0" applyFont="1" applyFill="1" applyBorder="1" applyAlignment="1">
      <alignment horizontal="left"/>
    </xf>
    <xf numFmtId="0" fontId="29" fillId="3" borderId="11" xfId="0" applyFont="1" applyFill="1" applyBorder="1" applyAlignment="1">
      <alignment horizontal="left"/>
    </xf>
    <xf numFmtId="164" fontId="29" fillId="3" borderId="21" xfId="2" applyFont="1" applyFill="1" applyBorder="1" applyAlignment="1">
      <alignment horizontal="right"/>
    </xf>
    <xf numFmtId="164" fontId="29" fillId="3" borderId="23" xfId="2" applyFont="1" applyFill="1" applyBorder="1" applyAlignment="1">
      <alignment horizontal="right"/>
    </xf>
    <xf numFmtId="0" fontId="31" fillId="7" borderId="18" xfId="0" applyFont="1" applyFill="1" applyBorder="1" applyAlignment="1">
      <alignment horizontal="left"/>
    </xf>
    <xf numFmtId="0" fontId="31" fillId="7" borderId="19" xfId="0" applyFont="1" applyFill="1" applyBorder="1" applyAlignment="1">
      <alignment horizontal="left"/>
    </xf>
    <xf numFmtId="0" fontId="31" fillId="7" borderId="33" xfId="0" applyFont="1" applyFill="1" applyBorder="1" applyAlignment="1">
      <alignment horizontal="left"/>
    </xf>
    <xf numFmtId="0" fontId="5" fillId="3" borderId="4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29" fillId="3" borderId="44" xfId="0" applyFont="1" applyFill="1" applyBorder="1" applyAlignment="1">
      <alignment horizontal="center"/>
    </xf>
    <xf numFmtId="0" fontId="29" fillId="3" borderId="11" xfId="0" applyFont="1" applyFill="1" applyBorder="1" applyAlignment="1">
      <alignment horizontal="center"/>
    </xf>
    <xf numFmtId="0" fontId="31" fillId="7" borderId="16" xfId="0" applyFont="1" applyFill="1" applyBorder="1" applyAlignment="1">
      <alignment horizontal="left"/>
    </xf>
    <xf numFmtId="0" fontId="31" fillId="7" borderId="13" xfId="0" applyFont="1" applyFill="1" applyBorder="1" applyAlignment="1">
      <alignment horizontal="left"/>
    </xf>
    <xf numFmtId="0" fontId="31" fillId="7" borderId="43" xfId="0" applyFont="1" applyFill="1" applyBorder="1" applyAlignment="1">
      <alignment horizontal="left"/>
    </xf>
    <xf numFmtId="164" fontId="29" fillId="3" borderId="44" xfId="2" applyFont="1" applyFill="1" applyBorder="1" applyAlignment="1">
      <alignment horizontal="center"/>
    </xf>
    <xf numFmtId="164" fontId="29" fillId="3" borderId="11" xfId="2" applyFont="1" applyFill="1" applyBorder="1" applyAlignment="1">
      <alignment horizontal="center"/>
    </xf>
    <xf numFmtId="0" fontId="31" fillId="7" borderId="21" xfId="0" applyFont="1" applyFill="1" applyBorder="1" applyAlignment="1">
      <alignment horizontal="left"/>
    </xf>
    <xf numFmtId="0" fontId="31" fillId="7" borderId="22" xfId="0" applyFont="1" applyFill="1" applyBorder="1" applyAlignment="1">
      <alignment horizontal="left"/>
    </xf>
    <xf numFmtId="0" fontId="31" fillId="7" borderId="42" xfId="0" applyFont="1" applyFill="1" applyBorder="1" applyAlignment="1">
      <alignment horizontal="left"/>
    </xf>
    <xf numFmtId="164" fontId="29" fillId="3" borderId="46" xfId="2" applyFont="1" applyFill="1" applyBorder="1" applyAlignment="1">
      <alignment horizontal="center"/>
    </xf>
    <xf numFmtId="164" fontId="29" fillId="3" borderId="10" xfId="2" applyFont="1" applyFill="1" applyBorder="1" applyAlignment="1">
      <alignment horizontal="center"/>
    </xf>
    <xf numFmtId="0" fontId="29" fillId="3" borderId="21" xfId="0" applyFont="1" applyFill="1" applyBorder="1" applyAlignment="1">
      <alignment horizontal="left"/>
    </xf>
    <xf numFmtId="0" fontId="29" fillId="3" borderId="22" xfId="0" applyFont="1" applyFill="1" applyBorder="1" applyAlignment="1">
      <alignment horizontal="left"/>
    </xf>
    <xf numFmtId="0" fontId="29" fillId="3" borderId="23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28" fillId="3" borderId="45" xfId="0" applyFont="1" applyFill="1" applyBorder="1" applyAlignment="1">
      <alignment horizontal="center" vertical="center"/>
    </xf>
    <xf numFmtId="0" fontId="28" fillId="3" borderId="34" xfId="0" applyFont="1" applyFill="1" applyBorder="1" applyAlignment="1">
      <alignment horizontal="center" vertical="center"/>
    </xf>
    <xf numFmtId="0" fontId="23" fillId="7" borderId="33" xfId="0" applyFont="1" applyFill="1" applyBorder="1" applyAlignment="1">
      <alignment horizontal="center" vertical="center"/>
    </xf>
    <xf numFmtId="0" fontId="23" fillId="7" borderId="34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51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40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32" fillId="7" borderId="24" xfId="0" applyFont="1" applyFill="1" applyBorder="1" applyAlignment="1">
      <alignment horizontal="center"/>
    </xf>
    <xf numFmtId="0" fontId="32" fillId="7" borderId="25" xfId="0" applyFont="1" applyFill="1" applyBorder="1" applyAlignment="1">
      <alignment horizontal="center"/>
    </xf>
    <xf numFmtId="0" fontId="32" fillId="7" borderId="2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8" fillId="3" borderId="46" xfId="0" applyFont="1" applyFill="1" applyBorder="1" applyAlignment="1">
      <alignment horizontal="center" vertical="center"/>
    </xf>
    <xf numFmtId="0" fontId="28" fillId="3" borderId="32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33" xfId="0" applyFont="1" applyFill="1" applyBorder="1" applyAlignment="1">
      <alignment horizontal="center" vertical="center"/>
    </xf>
    <xf numFmtId="0" fontId="28" fillId="3" borderId="35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0" fillId="5" borderId="1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164" fontId="40" fillId="11" borderId="11" xfId="5" applyFont="1" applyFill="1" applyBorder="1" applyAlignment="1">
      <alignment horizontal="center" wrapText="1"/>
    </xf>
  </cellXfs>
  <cellStyles count="6">
    <cellStyle name="Comma" xfId="1" builtinId="3"/>
    <cellStyle name="Currency" xfId="2" builtinId="4"/>
    <cellStyle name="Moeda 2" xfId="5" xr:uid="{00000000-0005-0000-0000-000030000000}"/>
    <cellStyle name="Normal" xfId="0" builtinId="0"/>
    <cellStyle name="Normal_Dados Nota Fiscal" xfId="3" xr:uid="{00000000-0005-0000-0000-000002000000}"/>
    <cellStyle name="Vírgula 2" xfId="4" xr:uid="{00000000-0005-0000-0000-000031000000}"/>
  </cellStyles>
  <dxfs count="2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18294C"/>
      <color rgb="FF101B32"/>
      <color rgb="FF080E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A$1" fmlaRange="$L$22:$M$25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4C5EB4F-C213-4AFB-97A0-865871F44B42}" type="doc">
      <dgm:prSet loTypeId="urn:microsoft.com/office/officeart/2005/8/layout/hList7" loCatId="list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pt-BR"/>
        </a:p>
      </dgm:t>
    </dgm:pt>
    <dgm:pt modelId="{A928EEF2-E295-4094-98E6-DA57E4BE8257}">
      <dgm:prSet phldrT="[Texto]"/>
      <dgm:spPr>
        <a:solidFill>
          <a:srgbClr val="0070C0"/>
        </a:solidFill>
      </dgm:spPr>
      <dgm:t>
        <a:bodyPr/>
        <a:lstStyle/>
        <a:p>
          <a:r>
            <a:rPr lang="pt-BR" b="1"/>
            <a:t>Contas Cadastradas</a:t>
          </a:r>
        </a:p>
      </dgm:t>
    </dgm:pt>
    <dgm:pt modelId="{AE55D60B-50E3-496E-9E99-A3E1B0244078}" type="parTrans" cxnId="{5B863DD5-A3C8-472F-9733-314E4A025B77}">
      <dgm:prSet/>
      <dgm:spPr/>
      <dgm:t>
        <a:bodyPr/>
        <a:lstStyle/>
        <a:p>
          <a:endParaRPr lang="pt-BR"/>
        </a:p>
      </dgm:t>
    </dgm:pt>
    <dgm:pt modelId="{D584D3F9-D54D-4D58-9128-B4477A40B8CD}" type="sibTrans" cxnId="{5B863DD5-A3C8-472F-9733-314E4A025B77}">
      <dgm:prSet/>
      <dgm:spPr/>
      <dgm:t>
        <a:bodyPr/>
        <a:lstStyle/>
        <a:p>
          <a:endParaRPr lang="pt-BR"/>
        </a:p>
      </dgm:t>
    </dgm:pt>
    <dgm:pt modelId="{8359487F-7E77-4720-942A-075C124ECD8A}">
      <dgm:prSet phldrT="[Texto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pt-BR" b="1"/>
            <a:t>Contas    Ativas</a:t>
          </a:r>
        </a:p>
      </dgm:t>
    </dgm:pt>
    <dgm:pt modelId="{87279D19-CA4A-41BA-9DA4-2A7994A50857}" type="parTrans" cxnId="{A9D7EADB-1FD0-47D4-855D-CD8AE1236CB3}">
      <dgm:prSet/>
      <dgm:spPr/>
      <dgm:t>
        <a:bodyPr/>
        <a:lstStyle/>
        <a:p>
          <a:endParaRPr lang="pt-BR"/>
        </a:p>
      </dgm:t>
    </dgm:pt>
    <dgm:pt modelId="{54BE0BD3-A8F0-4B68-84ED-066B5A08236B}" type="sibTrans" cxnId="{A9D7EADB-1FD0-47D4-855D-CD8AE1236CB3}">
      <dgm:prSet/>
      <dgm:spPr/>
      <dgm:t>
        <a:bodyPr/>
        <a:lstStyle/>
        <a:p>
          <a:endParaRPr lang="pt-BR"/>
        </a:p>
      </dgm:t>
    </dgm:pt>
    <dgm:pt modelId="{C6ED9E95-7952-4DB1-B806-759D74A79A31}">
      <dgm:prSet phldrT="[Texto]"/>
      <dgm:spPr>
        <a:solidFill>
          <a:srgbClr val="C00000"/>
        </a:solidFill>
      </dgm:spPr>
      <dgm:t>
        <a:bodyPr/>
        <a:lstStyle/>
        <a:p>
          <a:r>
            <a:rPr lang="pt-BR" b="1" i="0"/>
            <a:t>Contas Bloqueadas</a:t>
          </a:r>
        </a:p>
      </dgm:t>
    </dgm:pt>
    <dgm:pt modelId="{D5414280-6F93-48BF-A0A1-F50168A1C63B}" type="parTrans" cxnId="{A5E5A3DA-7388-4CD4-B27F-5CAF20C4AD27}">
      <dgm:prSet/>
      <dgm:spPr/>
      <dgm:t>
        <a:bodyPr/>
        <a:lstStyle/>
        <a:p>
          <a:endParaRPr lang="pt-BR"/>
        </a:p>
      </dgm:t>
    </dgm:pt>
    <dgm:pt modelId="{3A52A048-067E-435E-946B-8264FB222811}" type="sibTrans" cxnId="{A5E5A3DA-7388-4CD4-B27F-5CAF20C4AD27}">
      <dgm:prSet/>
      <dgm:spPr/>
      <dgm:t>
        <a:bodyPr/>
        <a:lstStyle/>
        <a:p>
          <a:endParaRPr lang="pt-BR"/>
        </a:p>
      </dgm:t>
    </dgm:pt>
    <dgm:pt modelId="{5FC87D4B-DF94-4949-8CBA-B5A0B386860A}">
      <dgm:prSet phldrT="[Texto]"/>
      <dgm:spPr>
        <a:solidFill>
          <a:schemeClr val="tx1">
            <a:lumMod val="65000"/>
            <a:lumOff val="35000"/>
          </a:schemeClr>
        </a:solidFill>
      </dgm:spPr>
      <dgm:t>
        <a:bodyPr/>
        <a:lstStyle/>
        <a:p>
          <a:r>
            <a:rPr lang="pt-BR" b="1" i="0"/>
            <a:t>Produtos Cadastrados</a:t>
          </a:r>
        </a:p>
      </dgm:t>
    </dgm:pt>
    <dgm:pt modelId="{583C9B39-42DD-400D-B0EA-047AC28CC255}" type="parTrans" cxnId="{E31098EB-6453-4AC5-B562-7302D878C0B9}">
      <dgm:prSet/>
      <dgm:spPr/>
      <dgm:t>
        <a:bodyPr/>
        <a:lstStyle/>
        <a:p>
          <a:endParaRPr lang="pt-BR"/>
        </a:p>
      </dgm:t>
    </dgm:pt>
    <dgm:pt modelId="{E8D514EA-B816-49AF-A1F9-363AEC167146}" type="sibTrans" cxnId="{E31098EB-6453-4AC5-B562-7302D878C0B9}">
      <dgm:prSet/>
      <dgm:spPr/>
      <dgm:t>
        <a:bodyPr/>
        <a:lstStyle/>
        <a:p>
          <a:endParaRPr lang="pt-BR"/>
        </a:p>
      </dgm:t>
    </dgm:pt>
    <dgm:pt modelId="{328999AA-7DCC-4495-BA22-4CF444473608}">
      <dgm:prSet phldrT="[Texto]"/>
      <dgm:spPr>
        <a:solidFill>
          <a:schemeClr val="accent4">
            <a:lumMod val="75000"/>
          </a:schemeClr>
        </a:solidFill>
      </dgm:spPr>
      <dgm:t>
        <a:bodyPr/>
        <a:lstStyle/>
        <a:p>
          <a:r>
            <a:rPr lang="pt-BR" b="1" i="0"/>
            <a:t>Compras Efetuadas</a:t>
          </a:r>
        </a:p>
      </dgm:t>
    </dgm:pt>
    <dgm:pt modelId="{301CB07A-E5CC-4A4F-81A1-E3CB16F142D7}" type="parTrans" cxnId="{A7893F6E-2718-456F-BF7C-116CC4E49900}">
      <dgm:prSet/>
      <dgm:spPr/>
      <dgm:t>
        <a:bodyPr/>
        <a:lstStyle/>
        <a:p>
          <a:endParaRPr lang="pt-BR"/>
        </a:p>
      </dgm:t>
    </dgm:pt>
    <dgm:pt modelId="{81D7B3DE-4C2E-4086-ABE2-C316F5F6F0DD}" type="sibTrans" cxnId="{A7893F6E-2718-456F-BF7C-116CC4E49900}">
      <dgm:prSet/>
      <dgm:spPr/>
      <dgm:t>
        <a:bodyPr/>
        <a:lstStyle/>
        <a:p>
          <a:endParaRPr lang="pt-BR"/>
        </a:p>
      </dgm:t>
    </dgm:pt>
    <dgm:pt modelId="{89B70240-AF81-463D-82D6-338A20444C06}" type="pres">
      <dgm:prSet presAssocID="{34C5EB4F-C213-4AFB-97A0-865871F44B42}" presName="Name0" presStyleCnt="0">
        <dgm:presLayoutVars>
          <dgm:dir/>
          <dgm:resizeHandles val="exact"/>
        </dgm:presLayoutVars>
      </dgm:prSet>
      <dgm:spPr/>
    </dgm:pt>
    <dgm:pt modelId="{2B6F429B-75C7-48D4-B873-51732B23FB93}" type="pres">
      <dgm:prSet presAssocID="{34C5EB4F-C213-4AFB-97A0-865871F44B42}" presName="fgShape" presStyleLbl="fgShp" presStyleIdx="0" presStyleCnt="1"/>
      <dgm:spPr>
        <a:solidFill>
          <a:srgbClr val="101B32"/>
        </a:solidFill>
      </dgm:spPr>
    </dgm:pt>
    <dgm:pt modelId="{7A469024-9F80-4629-9883-833F3A8025D1}" type="pres">
      <dgm:prSet presAssocID="{34C5EB4F-C213-4AFB-97A0-865871F44B42}" presName="linComp" presStyleCnt="0"/>
      <dgm:spPr/>
    </dgm:pt>
    <dgm:pt modelId="{81BE69BB-D7B6-42C2-8C62-5230C51881C9}" type="pres">
      <dgm:prSet presAssocID="{A928EEF2-E295-4094-98E6-DA57E4BE8257}" presName="compNode" presStyleCnt="0"/>
      <dgm:spPr/>
    </dgm:pt>
    <dgm:pt modelId="{008D2187-E474-4FF6-BC26-A43A1BE1F3E4}" type="pres">
      <dgm:prSet presAssocID="{A928EEF2-E295-4094-98E6-DA57E4BE8257}" presName="bkgdShape" presStyleLbl="node1" presStyleIdx="0" presStyleCnt="5" custLinFactNeighborX="-961"/>
      <dgm:spPr/>
    </dgm:pt>
    <dgm:pt modelId="{4A00647F-D330-4B7A-96C8-34932DC9218C}" type="pres">
      <dgm:prSet presAssocID="{A928EEF2-E295-4094-98E6-DA57E4BE8257}" presName="nodeTx" presStyleLbl="node1" presStyleIdx="0" presStyleCnt="5">
        <dgm:presLayoutVars>
          <dgm:bulletEnabled val="1"/>
        </dgm:presLayoutVars>
      </dgm:prSet>
      <dgm:spPr/>
    </dgm:pt>
    <dgm:pt modelId="{048A48FE-6B63-4614-A682-05571E7D4C57}" type="pres">
      <dgm:prSet presAssocID="{A928EEF2-E295-4094-98E6-DA57E4BE8257}" presName="invisiNode" presStyleLbl="node1" presStyleIdx="0" presStyleCnt="5"/>
      <dgm:spPr/>
    </dgm:pt>
    <dgm:pt modelId="{CAFCDCD3-CCAE-412E-A159-F793B0856E90}" type="pres">
      <dgm:prSet presAssocID="{A928EEF2-E295-4094-98E6-DA57E4BE8257}" presName="imagNode" presStyleLbl="fgImgPlace1" presStyleIdx="0" presStyleCnt="5"/>
      <dgm:spPr/>
    </dgm:pt>
    <dgm:pt modelId="{2E2A89BA-147B-4142-AD47-26FA917F1C77}" type="pres">
      <dgm:prSet presAssocID="{D584D3F9-D54D-4D58-9128-B4477A40B8CD}" presName="sibTrans" presStyleLbl="sibTrans2D1" presStyleIdx="0" presStyleCnt="0"/>
      <dgm:spPr/>
    </dgm:pt>
    <dgm:pt modelId="{5F56AC07-BE1F-4B95-88D9-38DFCBA61A5E}" type="pres">
      <dgm:prSet presAssocID="{8359487F-7E77-4720-942A-075C124ECD8A}" presName="compNode" presStyleCnt="0"/>
      <dgm:spPr/>
    </dgm:pt>
    <dgm:pt modelId="{24D27B3F-0FF2-458F-A8D7-3EB8B4C27551}" type="pres">
      <dgm:prSet presAssocID="{8359487F-7E77-4720-942A-075C124ECD8A}" presName="bkgdShape" presStyleLbl="node1" presStyleIdx="1" presStyleCnt="5" custAng="0"/>
      <dgm:spPr/>
    </dgm:pt>
    <dgm:pt modelId="{2C796A4E-87CB-4023-87A0-132EC76D81E9}" type="pres">
      <dgm:prSet presAssocID="{8359487F-7E77-4720-942A-075C124ECD8A}" presName="nodeTx" presStyleLbl="node1" presStyleIdx="1" presStyleCnt="5">
        <dgm:presLayoutVars>
          <dgm:bulletEnabled val="1"/>
        </dgm:presLayoutVars>
      </dgm:prSet>
      <dgm:spPr/>
    </dgm:pt>
    <dgm:pt modelId="{1FDC022C-AA29-4C65-9E1F-CA805FDB4F98}" type="pres">
      <dgm:prSet presAssocID="{8359487F-7E77-4720-942A-075C124ECD8A}" presName="invisiNode" presStyleLbl="node1" presStyleIdx="1" presStyleCnt="5"/>
      <dgm:spPr/>
    </dgm:pt>
    <dgm:pt modelId="{FB814BA4-4957-409B-988F-518ABCC1527F}" type="pres">
      <dgm:prSet presAssocID="{8359487F-7E77-4720-942A-075C124ECD8A}" presName="imagNode" presStyleLbl="fgImgPlace1" presStyleIdx="1" presStyleCnt="5"/>
      <dgm:spPr>
        <a:solidFill>
          <a:srgbClr val="101B32"/>
        </a:solidFill>
      </dgm:spPr>
    </dgm:pt>
    <dgm:pt modelId="{CEF301F6-795C-448D-BC9B-022A19AFD136}" type="pres">
      <dgm:prSet presAssocID="{54BE0BD3-A8F0-4B68-84ED-066B5A08236B}" presName="sibTrans" presStyleLbl="sibTrans2D1" presStyleIdx="0" presStyleCnt="0"/>
      <dgm:spPr/>
    </dgm:pt>
    <dgm:pt modelId="{7011E7D8-82BE-4E48-88BF-26987763D77F}" type="pres">
      <dgm:prSet presAssocID="{C6ED9E95-7952-4DB1-B806-759D74A79A31}" presName="compNode" presStyleCnt="0"/>
      <dgm:spPr/>
    </dgm:pt>
    <dgm:pt modelId="{0A4B500C-2C41-41F3-9DD6-DCEF65CD7000}" type="pres">
      <dgm:prSet presAssocID="{C6ED9E95-7952-4DB1-B806-759D74A79A31}" presName="bkgdShape" presStyleLbl="node1" presStyleIdx="2" presStyleCnt="5"/>
      <dgm:spPr/>
    </dgm:pt>
    <dgm:pt modelId="{E61C12CE-82F9-43D5-B8D1-363A70147BE4}" type="pres">
      <dgm:prSet presAssocID="{C6ED9E95-7952-4DB1-B806-759D74A79A31}" presName="nodeTx" presStyleLbl="node1" presStyleIdx="2" presStyleCnt="5">
        <dgm:presLayoutVars>
          <dgm:bulletEnabled val="1"/>
        </dgm:presLayoutVars>
      </dgm:prSet>
      <dgm:spPr/>
    </dgm:pt>
    <dgm:pt modelId="{A289D36B-464B-4320-A461-1674E256FA55}" type="pres">
      <dgm:prSet presAssocID="{C6ED9E95-7952-4DB1-B806-759D74A79A31}" presName="invisiNode" presStyleLbl="node1" presStyleIdx="2" presStyleCnt="5"/>
      <dgm:spPr/>
    </dgm:pt>
    <dgm:pt modelId="{0875B126-D660-44DD-9EB1-A72A3008AF6A}" type="pres">
      <dgm:prSet presAssocID="{C6ED9E95-7952-4DB1-B806-759D74A79A31}" presName="imagNode" presStyleLbl="fgImgPlace1" presStyleIdx="2" presStyleCnt="5"/>
      <dgm:spPr/>
    </dgm:pt>
    <dgm:pt modelId="{4C8EADD7-8428-4ED5-84A2-EA5229EAA9BD}" type="pres">
      <dgm:prSet presAssocID="{3A52A048-067E-435E-946B-8264FB222811}" presName="sibTrans" presStyleLbl="sibTrans2D1" presStyleIdx="0" presStyleCnt="0"/>
      <dgm:spPr/>
    </dgm:pt>
    <dgm:pt modelId="{69BC53C2-004E-446A-A64C-BD3AB4C4D652}" type="pres">
      <dgm:prSet presAssocID="{5FC87D4B-DF94-4949-8CBA-B5A0B386860A}" presName="compNode" presStyleCnt="0"/>
      <dgm:spPr/>
    </dgm:pt>
    <dgm:pt modelId="{19FDFEFB-BE1B-4DFE-AA80-F3B568696E5A}" type="pres">
      <dgm:prSet presAssocID="{5FC87D4B-DF94-4949-8CBA-B5A0B386860A}" presName="bkgdShape" presStyleLbl="node1" presStyleIdx="3" presStyleCnt="5"/>
      <dgm:spPr/>
    </dgm:pt>
    <dgm:pt modelId="{0AAD0DFC-D7A2-4C2D-BE98-050941396C48}" type="pres">
      <dgm:prSet presAssocID="{5FC87D4B-DF94-4949-8CBA-B5A0B386860A}" presName="nodeTx" presStyleLbl="node1" presStyleIdx="3" presStyleCnt="5">
        <dgm:presLayoutVars>
          <dgm:bulletEnabled val="1"/>
        </dgm:presLayoutVars>
      </dgm:prSet>
      <dgm:spPr/>
    </dgm:pt>
    <dgm:pt modelId="{BAA2130E-7F7D-481E-AE38-36A1D5305A16}" type="pres">
      <dgm:prSet presAssocID="{5FC87D4B-DF94-4949-8CBA-B5A0B386860A}" presName="invisiNode" presStyleLbl="node1" presStyleIdx="3" presStyleCnt="5"/>
      <dgm:spPr/>
    </dgm:pt>
    <dgm:pt modelId="{8C179DE7-B374-49FD-B11A-98150C94FF3E}" type="pres">
      <dgm:prSet presAssocID="{5FC87D4B-DF94-4949-8CBA-B5A0B386860A}" presName="imagNode" presStyleLbl="fgImgPlace1" presStyleIdx="3" presStyleCnt="5"/>
      <dgm:spPr/>
    </dgm:pt>
    <dgm:pt modelId="{D3FF319A-67FC-408E-8ABB-E4C271C22462}" type="pres">
      <dgm:prSet presAssocID="{E8D514EA-B816-49AF-A1F9-363AEC167146}" presName="sibTrans" presStyleLbl="sibTrans2D1" presStyleIdx="0" presStyleCnt="0"/>
      <dgm:spPr/>
    </dgm:pt>
    <dgm:pt modelId="{8BF88D36-5893-4EB5-9060-89C94C129CDC}" type="pres">
      <dgm:prSet presAssocID="{328999AA-7DCC-4495-BA22-4CF444473608}" presName="compNode" presStyleCnt="0"/>
      <dgm:spPr/>
    </dgm:pt>
    <dgm:pt modelId="{6551571A-D37F-475D-9931-4FC3B165DF46}" type="pres">
      <dgm:prSet presAssocID="{328999AA-7DCC-4495-BA22-4CF444473608}" presName="bkgdShape" presStyleLbl="node1" presStyleIdx="4" presStyleCnt="5"/>
      <dgm:spPr/>
    </dgm:pt>
    <dgm:pt modelId="{4597F1A0-A239-4161-BC14-7591652230FF}" type="pres">
      <dgm:prSet presAssocID="{328999AA-7DCC-4495-BA22-4CF444473608}" presName="nodeTx" presStyleLbl="node1" presStyleIdx="4" presStyleCnt="5">
        <dgm:presLayoutVars>
          <dgm:bulletEnabled val="1"/>
        </dgm:presLayoutVars>
      </dgm:prSet>
      <dgm:spPr/>
    </dgm:pt>
    <dgm:pt modelId="{58BCE032-A770-4E77-9E3F-4CD5EF1D6634}" type="pres">
      <dgm:prSet presAssocID="{328999AA-7DCC-4495-BA22-4CF444473608}" presName="invisiNode" presStyleLbl="node1" presStyleIdx="4" presStyleCnt="5"/>
      <dgm:spPr/>
    </dgm:pt>
    <dgm:pt modelId="{74DD849F-B514-44B5-BB34-61B58742FF47}" type="pres">
      <dgm:prSet presAssocID="{328999AA-7DCC-4495-BA22-4CF444473608}" presName="imagNode" presStyleLbl="fgImgPlace1" presStyleIdx="4" presStyleCnt="5"/>
      <dgm:spPr/>
    </dgm:pt>
  </dgm:ptLst>
  <dgm:cxnLst>
    <dgm:cxn modelId="{6CAE6B0E-7CBD-4770-85BE-3F0FEAF6E29D}" type="presOf" srcId="{D584D3F9-D54D-4D58-9128-B4477A40B8CD}" destId="{2E2A89BA-147B-4142-AD47-26FA917F1C77}" srcOrd="0" destOrd="0" presId="urn:microsoft.com/office/officeart/2005/8/layout/hList7"/>
    <dgm:cxn modelId="{1A70D01A-4B92-41D7-AE95-54A1E1B5CCF4}" type="presOf" srcId="{8359487F-7E77-4720-942A-075C124ECD8A}" destId="{2C796A4E-87CB-4023-87A0-132EC76D81E9}" srcOrd="1" destOrd="0" presId="urn:microsoft.com/office/officeart/2005/8/layout/hList7"/>
    <dgm:cxn modelId="{E4DA8123-8266-44A0-B3B2-AB4B7CC96CEF}" type="presOf" srcId="{328999AA-7DCC-4495-BA22-4CF444473608}" destId="{6551571A-D37F-475D-9931-4FC3B165DF46}" srcOrd="0" destOrd="0" presId="urn:microsoft.com/office/officeart/2005/8/layout/hList7"/>
    <dgm:cxn modelId="{01986E36-B6D2-4617-8B7A-73AFC67617AB}" type="presOf" srcId="{A928EEF2-E295-4094-98E6-DA57E4BE8257}" destId="{4A00647F-D330-4B7A-96C8-34932DC9218C}" srcOrd="1" destOrd="0" presId="urn:microsoft.com/office/officeart/2005/8/layout/hList7"/>
    <dgm:cxn modelId="{76AA3F40-44DC-4CA6-A321-FAD3A9D6E89D}" type="presOf" srcId="{5FC87D4B-DF94-4949-8CBA-B5A0B386860A}" destId="{0AAD0DFC-D7A2-4C2D-BE98-050941396C48}" srcOrd="1" destOrd="0" presId="urn:microsoft.com/office/officeart/2005/8/layout/hList7"/>
    <dgm:cxn modelId="{4473E640-E26C-42DE-B0DB-ABE7A4F5C57B}" type="presOf" srcId="{34C5EB4F-C213-4AFB-97A0-865871F44B42}" destId="{89B70240-AF81-463D-82D6-338A20444C06}" srcOrd="0" destOrd="0" presId="urn:microsoft.com/office/officeart/2005/8/layout/hList7"/>
    <dgm:cxn modelId="{BFC13063-18BE-4EE7-A857-71269688E84A}" type="presOf" srcId="{328999AA-7DCC-4495-BA22-4CF444473608}" destId="{4597F1A0-A239-4161-BC14-7591652230FF}" srcOrd="1" destOrd="0" presId="urn:microsoft.com/office/officeart/2005/8/layout/hList7"/>
    <dgm:cxn modelId="{A7893F6E-2718-456F-BF7C-116CC4E49900}" srcId="{34C5EB4F-C213-4AFB-97A0-865871F44B42}" destId="{328999AA-7DCC-4495-BA22-4CF444473608}" srcOrd="4" destOrd="0" parTransId="{301CB07A-E5CC-4A4F-81A1-E3CB16F142D7}" sibTransId="{81D7B3DE-4C2E-4086-ABE2-C316F5F6F0DD}"/>
    <dgm:cxn modelId="{176B594F-FBC7-47B1-B750-EA318CE41B5C}" type="presOf" srcId="{C6ED9E95-7952-4DB1-B806-759D74A79A31}" destId="{E61C12CE-82F9-43D5-B8D1-363A70147BE4}" srcOrd="1" destOrd="0" presId="urn:microsoft.com/office/officeart/2005/8/layout/hList7"/>
    <dgm:cxn modelId="{ACE64B90-CF90-41C8-9CD7-436E2D7CECCD}" type="presOf" srcId="{A928EEF2-E295-4094-98E6-DA57E4BE8257}" destId="{008D2187-E474-4FF6-BC26-A43A1BE1F3E4}" srcOrd="0" destOrd="0" presId="urn:microsoft.com/office/officeart/2005/8/layout/hList7"/>
    <dgm:cxn modelId="{09C09397-4DAB-48C5-BF43-3F11FC738070}" type="presOf" srcId="{E8D514EA-B816-49AF-A1F9-363AEC167146}" destId="{D3FF319A-67FC-408E-8ABB-E4C271C22462}" srcOrd="0" destOrd="0" presId="urn:microsoft.com/office/officeart/2005/8/layout/hList7"/>
    <dgm:cxn modelId="{86DFDABF-F356-44EE-A8EE-8FAF7B607A47}" type="presOf" srcId="{C6ED9E95-7952-4DB1-B806-759D74A79A31}" destId="{0A4B500C-2C41-41F3-9DD6-DCEF65CD7000}" srcOrd="0" destOrd="0" presId="urn:microsoft.com/office/officeart/2005/8/layout/hList7"/>
    <dgm:cxn modelId="{2AD31EC1-FB09-487D-B97F-73E046C423B1}" type="presOf" srcId="{5FC87D4B-DF94-4949-8CBA-B5A0B386860A}" destId="{19FDFEFB-BE1B-4DFE-AA80-F3B568696E5A}" srcOrd="0" destOrd="0" presId="urn:microsoft.com/office/officeart/2005/8/layout/hList7"/>
    <dgm:cxn modelId="{5B863DD5-A3C8-472F-9733-314E4A025B77}" srcId="{34C5EB4F-C213-4AFB-97A0-865871F44B42}" destId="{A928EEF2-E295-4094-98E6-DA57E4BE8257}" srcOrd="0" destOrd="0" parTransId="{AE55D60B-50E3-496E-9E99-A3E1B0244078}" sibTransId="{D584D3F9-D54D-4D58-9128-B4477A40B8CD}"/>
    <dgm:cxn modelId="{A5E5A3DA-7388-4CD4-B27F-5CAF20C4AD27}" srcId="{34C5EB4F-C213-4AFB-97A0-865871F44B42}" destId="{C6ED9E95-7952-4DB1-B806-759D74A79A31}" srcOrd="2" destOrd="0" parTransId="{D5414280-6F93-48BF-A0A1-F50168A1C63B}" sibTransId="{3A52A048-067E-435E-946B-8264FB222811}"/>
    <dgm:cxn modelId="{6A06E7DA-3F6B-4119-9EB1-4D27A8000C24}" type="presOf" srcId="{8359487F-7E77-4720-942A-075C124ECD8A}" destId="{24D27B3F-0FF2-458F-A8D7-3EB8B4C27551}" srcOrd="0" destOrd="0" presId="urn:microsoft.com/office/officeart/2005/8/layout/hList7"/>
    <dgm:cxn modelId="{A9D7EADB-1FD0-47D4-855D-CD8AE1236CB3}" srcId="{34C5EB4F-C213-4AFB-97A0-865871F44B42}" destId="{8359487F-7E77-4720-942A-075C124ECD8A}" srcOrd="1" destOrd="0" parTransId="{87279D19-CA4A-41BA-9DA4-2A7994A50857}" sibTransId="{54BE0BD3-A8F0-4B68-84ED-066B5A08236B}"/>
    <dgm:cxn modelId="{374BF5DE-BBFA-4E2A-AC80-B96C323CC64C}" type="presOf" srcId="{54BE0BD3-A8F0-4B68-84ED-066B5A08236B}" destId="{CEF301F6-795C-448D-BC9B-022A19AFD136}" srcOrd="0" destOrd="0" presId="urn:microsoft.com/office/officeart/2005/8/layout/hList7"/>
    <dgm:cxn modelId="{01757CEA-AE63-48C4-8D12-F5B3B3F67976}" type="presOf" srcId="{3A52A048-067E-435E-946B-8264FB222811}" destId="{4C8EADD7-8428-4ED5-84A2-EA5229EAA9BD}" srcOrd="0" destOrd="0" presId="urn:microsoft.com/office/officeart/2005/8/layout/hList7"/>
    <dgm:cxn modelId="{E31098EB-6453-4AC5-B562-7302D878C0B9}" srcId="{34C5EB4F-C213-4AFB-97A0-865871F44B42}" destId="{5FC87D4B-DF94-4949-8CBA-B5A0B386860A}" srcOrd="3" destOrd="0" parTransId="{583C9B39-42DD-400D-B0EA-047AC28CC255}" sibTransId="{E8D514EA-B816-49AF-A1F9-363AEC167146}"/>
    <dgm:cxn modelId="{364F0738-14B9-4280-9DA9-A55339A23780}" type="presParOf" srcId="{89B70240-AF81-463D-82D6-338A20444C06}" destId="{2B6F429B-75C7-48D4-B873-51732B23FB93}" srcOrd="0" destOrd="0" presId="urn:microsoft.com/office/officeart/2005/8/layout/hList7"/>
    <dgm:cxn modelId="{F230A12F-7E82-4A6F-95A4-053B5EFA38FE}" type="presParOf" srcId="{89B70240-AF81-463D-82D6-338A20444C06}" destId="{7A469024-9F80-4629-9883-833F3A8025D1}" srcOrd="1" destOrd="0" presId="urn:microsoft.com/office/officeart/2005/8/layout/hList7"/>
    <dgm:cxn modelId="{7D1090E1-9C45-4D05-B72E-78966392B6C2}" type="presParOf" srcId="{7A469024-9F80-4629-9883-833F3A8025D1}" destId="{81BE69BB-D7B6-42C2-8C62-5230C51881C9}" srcOrd="0" destOrd="0" presId="urn:microsoft.com/office/officeart/2005/8/layout/hList7"/>
    <dgm:cxn modelId="{97EBACEC-B045-434A-8B8E-442754117A44}" type="presParOf" srcId="{81BE69BB-D7B6-42C2-8C62-5230C51881C9}" destId="{008D2187-E474-4FF6-BC26-A43A1BE1F3E4}" srcOrd="0" destOrd="0" presId="urn:microsoft.com/office/officeart/2005/8/layout/hList7"/>
    <dgm:cxn modelId="{E56B6242-AF7A-466E-91CF-005291CE0AC1}" type="presParOf" srcId="{81BE69BB-D7B6-42C2-8C62-5230C51881C9}" destId="{4A00647F-D330-4B7A-96C8-34932DC9218C}" srcOrd="1" destOrd="0" presId="urn:microsoft.com/office/officeart/2005/8/layout/hList7"/>
    <dgm:cxn modelId="{3DFD4888-0DE9-4CCB-83D1-210F7ED44CCC}" type="presParOf" srcId="{81BE69BB-D7B6-42C2-8C62-5230C51881C9}" destId="{048A48FE-6B63-4614-A682-05571E7D4C57}" srcOrd="2" destOrd="0" presId="urn:microsoft.com/office/officeart/2005/8/layout/hList7"/>
    <dgm:cxn modelId="{AE4D85A3-F48F-4CFF-BAF6-EF5667A30E8C}" type="presParOf" srcId="{81BE69BB-D7B6-42C2-8C62-5230C51881C9}" destId="{CAFCDCD3-CCAE-412E-A159-F793B0856E90}" srcOrd="3" destOrd="0" presId="urn:microsoft.com/office/officeart/2005/8/layout/hList7"/>
    <dgm:cxn modelId="{36588500-264F-4848-B40A-F700FC868E2B}" type="presParOf" srcId="{7A469024-9F80-4629-9883-833F3A8025D1}" destId="{2E2A89BA-147B-4142-AD47-26FA917F1C77}" srcOrd="1" destOrd="0" presId="urn:microsoft.com/office/officeart/2005/8/layout/hList7"/>
    <dgm:cxn modelId="{C3809165-B201-4C2A-85E3-A4D309551FEA}" type="presParOf" srcId="{7A469024-9F80-4629-9883-833F3A8025D1}" destId="{5F56AC07-BE1F-4B95-88D9-38DFCBA61A5E}" srcOrd="2" destOrd="0" presId="urn:microsoft.com/office/officeart/2005/8/layout/hList7"/>
    <dgm:cxn modelId="{263F26E9-83A3-4DF9-A778-82EB36328B7A}" type="presParOf" srcId="{5F56AC07-BE1F-4B95-88D9-38DFCBA61A5E}" destId="{24D27B3F-0FF2-458F-A8D7-3EB8B4C27551}" srcOrd="0" destOrd="0" presId="urn:microsoft.com/office/officeart/2005/8/layout/hList7"/>
    <dgm:cxn modelId="{24D7D1AA-155A-477C-B7B2-D958ABB69528}" type="presParOf" srcId="{5F56AC07-BE1F-4B95-88D9-38DFCBA61A5E}" destId="{2C796A4E-87CB-4023-87A0-132EC76D81E9}" srcOrd="1" destOrd="0" presId="urn:microsoft.com/office/officeart/2005/8/layout/hList7"/>
    <dgm:cxn modelId="{C2E1A2A0-70BC-4A03-A269-83C084DF67F2}" type="presParOf" srcId="{5F56AC07-BE1F-4B95-88D9-38DFCBA61A5E}" destId="{1FDC022C-AA29-4C65-9E1F-CA805FDB4F98}" srcOrd="2" destOrd="0" presId="urn:microsoft.com/office/officeart/2005/8/layout/hList7"/>
    <dgm:cxn modelId="{A5BF2815-1476-4209-9B43-F9F501E406DE}" type="presParOf" srcId="{5F56AC07-BE1F-4B95-88D9-38DFCBA61A5E}" destId="{FB814BA4-4957-409B-988F-518ABCC1527F}" srcOrd="3" destOrd="0" presId="urn:microsoft.com/office/officeart/2005/8/layout/hList7"/>
    <dgm:cxn modelId="{C9BAACB7-8AF4-487F-A99D-C939598DAEB2}" type="presParOf" srcId="{7A469024-9F80-4629-9883-833F3A8025D1}" destId="{CEF301F6-795C-448D-BC9B-022A19AFD136}" srcOrd="3" destOrd="0" presId="urn:microsoft.com/office/officeart/2005/8/layout/hList7"/>
    <dgm:cxn modelId="{43D558DA-7237-4DFB-B642-F3C9C45AB79D}" type="presParOf" srcId="{7A469024-9F80-4629-9883-833F3A8025D1}" destId="{7011E7D8-82BE-4E48-88BF-26987763D77F}" srcOrd="4" destOrd="0" presId="urn:microsoft.com/office/officeart/2005/8/layout/hList7"/>
    <dgm:cxn modelId="{6BD83A64-56DF-4973-B017-2201D8BEBBF6}" type="presParOf" srcId="{7011E7D8-82BE-4E48-88BF-26987763D77F}" destId="{0A4B500C-2C41-41F3-9DD6-DCEF65CD7000}" srcOrd="0" destOrd="0" presId="urn:microsoft.com/office/officeart/2005/8/layout/hList7"/>
    <dgm:cxn modelId="{2A49EF33-A7D5-42EA-8700-A3AC181A5806}" type="presParOf" srcId="{7011E7D8-82BE-4E48-88BF-26987763D77F}" destId="{E61C12CE-82F9-43D5-B8D1-363A70147BE4}" srcOrd="1" destOrd="0" presId="urn:microsoft.com/office/officeart/2005/8/layout/hList7"/>
    <dgm:cxn modelId="{16EF5640-2000-40D6-9833-7A0512231C77}" type="presParOf" srcId="{7011E7D8-82BE-4E48-88BF-26987763D77F}" destId="{A289D36B-464B-4320-A461-1674E256FA55}" srcOrd="2" destOrd="0" presId="urn:microsoft.com/office/officeart/2005/8/layout/hList7"/>
    <dgm:cxn modelId="{29696D23-532E-42A2-B41F-797F84F4915D}" type="presParOf" srcId="{7011E7D8-82BE-4E48-88BF-26987763D77F}" destId="{0875B126-D660-44DD-9EB1-A72A3008AF6A}" srcOrd="3" destOrd="0" presId="urn:microsoft.com/office/officeart/2005/8/layout/hList7"/>
    <dgm:cxn modelId="{1BA17A1A-BFE6-4F5C-AB82-631425335AE9}" type="presParOf" srcId="{7A469024-9F80-4629-9883-833F3A8025D1}" destId="{4C8EADD7-8428-4ED5-84A2-EA5229EAA9BD}" srcOrd="5" destOrd="0" presId="urn:microsoft.com/office/officeart/2005/8/layout/hList7"/>
    <dgm:cxn modelId="{0738F974-0280-484C-A0C7-2DF662CB9FFA}" type="presParOf" srcId="{7A469024-9F80-4629-9883-833F3A8025D1}" destId="{69BC53C2-004E-446A-A64C-BD3AB4C4D652}" srcOrd="6" destOrd="0" presId="urn:microsoft.com/office/officeart/2005/8/layout/hList7"/>
    <dgm:cxn modelId="{A6625E68-6F56-498C-9973-D6CAF55BA095}" type="presParOf" srcId="{69BC53C2-004E-446A-A64C-BD3AB4C4D652}" destId="{19FDFEFB-BE1B-4DFE-AA80-F3B568696E5A}" srcOrd="0" destOrd="0" presId="urn:microsoft.com/office/officeart/2005/8/layout/hList7"/>
    <dgm:cxn modelId="{4256B6DF-6E96-4421-8C50-9DC3A9A380DE}" type="presParOf" srcId="{69BC53C2-004E-446A-A64C-BD3AB4C4D652}" destId="{0AAD0DFC-D7A2-4C2D-BE98-050941396C48}" srcOrd="1" destOrd="0" presId="urn:microsoft.com/office/officeart/2005/8/layout/hList7"/>
    <dgm:cxn modelId="{15F25155-9052-4C4A-AF58-C0B5D78CC1C4}" type="presParOf" srcId="{69BC53C2-004E-446A-A64C-BD3AB4C4D652}" destId="{BAA2130E-7F7D-481E-AE38-36A1D5305A16}" srcOrd="2" destOrd="0" presId="urn:microsoft.com/office/officeart/2005/8/layout/hList7"/>
    <dgm:cxn modelId="{82EE7FF2-7841-49A8-874E-DCBA014EFBB9}" type="presParOf" srcId="{69BC53C2-004E-446A-A64C-BD3AB4C4D652}" destId="{8C179DE7-B374-49FD-B11A-98150C94FF3E}" srcOrd="3" destOrd="0" presId="urn:microsoft.com/office/officeart/2005/8/layout/hList7"/>
    <dgm:cxn modelId="{72D91864-8FEA-4C0C-BE12-6328F1B160F3}" type="presParOf" srcId="{7A469024-9F80-4629-9883-833F3A8025D1}" destId="{D3FF319A-67FC-408E-8ABB-E4C271C22462}" srcOrd="7" destOrd="0" presId="urn:microsoft.com/office/officeart/2005/8/layout/hList7"/>
    <dgm:cxn modelId="{6BBCFB4B-2B68-4045-90CC-C91553B749D2}" type="presParOf" srcId="{7A469024-9F80-4629-9883-833F3A8025D1}" destId="{8BF88D36-5893-4EB5-9060-89C94C129CDC}" srcOrd="8" destOrd="0" presId="urn:microsoft.com/office/officeart/2005/8/layout/hList7"/>
    <dgm:cxn modelId="{72742A6E-32CF-4CBD-9C17-1B5238BC1A27}" type="presParOf" srcId="{8BF88D36-5893-4EB5-9060-89C94C129CDC}" destId="{6551571A-D37F-475D-9931-4FC3B165DF46}" srcOrd="0" destOrd="0" presId="urn:microsoft.com/office/officeart/2005/8/layout/hList7"/>
    <dgm:cxn modelId="{F45F849F-0E84-41CA-8652-0CF6752E7C27}" type="presParOf" srcId="{8BF88D36-5893-4EB5-9060-89C94C129CDC}" destId="{4597F1A0-A239-4161-BC14-7591652230FF}" srcOrd="1" destOrd="0" presId="urn:microsoft.com/office/officeart/2005/8/layout/hList7"/>
    <dgm:cxn modelId="{380CCA44-7749-45F7-AD33-C79A57B52501}" type="presParOf" srcId="{8BF88D36-5893-4EB5-9060-89C94C129CDC}" destId="{58BCE032-A770-4E77-9E3F-4CD5EF1D6634}" srcOrd="2" destOrd="0" presId="urn:microsoft.com/office/officeart/2005/8/layout/hList7"/>
    <dgm:cxn modelId="{7CCC8CEE-3EB9-4874-9FF7-1939187C95C6}" type="presParOf" srcId="{8BF88D36-5893-4EB5-9060-89C94C129CDC}" destId="{74DD849F-B514-44B5-BB34-61B58742FF47}" srcOrd="3" destOrd="0" presId="urn:microsoft.com/office/officeart/2005/8/layout/hList7"/>
  </dgm:cxnLst>
  <dgm:bg/>
  <dgm:whole/>
  <dgm:extLst>
    <a:ext uri="http://schemas.microsoft.com/office/drawing/2008/diagram">
      <dsp:dataModelExt xmlns:dsp="http://schemas.microsoft.com/office/drawing/2008/diagram" relId="rId2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08D2187-E474-4FF6-BC26-A43A1BE1F3E4}">
      <dsp:nvSpPr>
        <dsp:cNvPr id="0" name=""/>
        <dsp:cNvSpPr/>
      </dsp:nvSpPr>
      <dsp:spPr>
        <a:xfrm>
          <a:off x="0" y="0"/>
          <a:ext cx="1026914" cy="1766887"/>
        </a:xfrm>
        <a:prstGeom prst="roundRect">
          <a:avLst>
            <a:gd name="adj" fmla="val 10000"/>
          </a:avLst>
        </a:prstGeom>
        <a:solidFill>
          <a:srgbClr val="0070C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Cadastradas</a:t>
          </a:r>
        </a:p>
      </dsp:txBody>
      <dsp:txXfrm>
        <a:off x="0" y="706754"/>
        <a:ext cx="1026914" cy="706754"/>
      </dsp:txXfrm>
    </dsp:sp>
    <dsp:sp modelId="{CAFCDCD3-CCAE-412E-A159-F793B0856E90}">
      <dsp:nvSpPr>
        <dsp:cNvPr id="0" name=""/>
        <dsp:cNvSpPr/>
      </dsp:nvSpPr>
      <dsp:spPr>
        <a:xfrm>
          <a:off x="219270" y="106013"/>
          <a:ext cx="588373" cy="588373"/>
        </a:xfrm>
        <a:prstGeom prst="ellipse">
          <a:avLst/>
        </a:prstGeom>
        <a:solidFill>
          <a:schemeClr val="accent3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4D27B3F-0FF2-458F-A8D7-3EB8B4C27551}">
      <dsp:nvSpPr>
        <dsp:cNvPr id="0" name=""/>
        <dsp:cNvSpPr/>
      </dsp:nvSpPr>
      <dsp:spPr>
        <a:xfrm>
          <a:off x="1057721" y="0"/>
          <a:ext cx="1026914" cy="1766887"/>
        </a:xfrm>
        <a:prstGeom prst="roundRect">
          <a:avLst>
            <a:gd name="adj" fmla="val 10000"/>
          </a:avLst>
        </a:prstGeom>
        <a:solidFill>
          <a:schemeClr val="accent6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   Ativas</a:t>
          </a:r>
        </a:p>
      </dsp:txBody>
      <dsp:txXfrm>
        <a:off x="1057721" y="706754"/>
        <a:ext cx="1026914" cy="706754"/>
      </dsp:txXfrm>
    </dsp:sp>
    <dsp:sp modelId="{FB814BA4-4957-409B-988F-518ABCC1527F}">
      <dsp:nvSpPr>
        <dsp:cNvPr id="0" name=""/>
        <dsp:cNvSpPr/>
      </dsp:nvSpPr>
      <dsp:spPr>
        <a:xfrm>
          <a:off x="1276992" y="106013"/>
          <a:ext cx="588373" cy="588373"/>
        </a:xfrm>
        <a:prstGeom prst="ellipse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A4B500C-2C41-41F3-9DD6-DCEF65CD7000}">
      <dsp:nvSpPr>
        <dsp:cNvPr id="0" name=""/>
        <dsp:cNvSpPr/>
      </dsp:nvSpPr>
      <dsp:spPr>
        <a:xfrm>
          <a:off x="2115443" y="0"/>
          <a:ext cx="1026914" cy="1766887"/>
        </a:xfrm>
        <a:prstGeom prst="roundRect">
          <a:avLst>
            <a:gd name="adj" fmla="val 10000"/>
          </a:avLst>
        </a:prstGeom>
        <a:solidFill>
          <a:srgbClr val="C0000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Contas Bloqueadas</a:t>
          </a:r>
        </a:p>
      </dsp:txBody>
      <dsp:txXfrm>
        <a:off x="2115443" y="706754"/>
        <a:ext cx="1026914" cy="706754"/>
      </dsp:txXfrm>
    </dsp:sp>
    <dsp:sp modelId="{0875B126-D660-44DD-9EB1-A72A3008AF6A}">
      <dsp:nvSpPr>
        <dsp:cNvPr id="0" name=""/>
        <dsp:cNvSpPr/>
      </dsp:nvSpPr>
      <dsp:spPr>
        <a:xfrm>
          <a:off x="2334713" y="106013"/>
          <a:ext cx="588373" cy="588373"/>
        </a:xfrm>
        <a:prstGeom prst="ellipse">
          <a:avLst/>
        </a:prstGeom>
        <a:solidFill>
          <a:schemeClr val="accent3">
            <a:tint val="50000"/>
            <a:hueOff val="1037118"/>
            <a:satOff val="50000"/>
            <a:lumOff val="99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9FDFEFB-BE1B-4DFE-AA80-F3B568696E5A}">
      <dsp:nvSpPr>
        <dsp:cNvPr id="0" name=""/>
        <dsp:cNvSpPr/>
      </dsp:nvSpPr>
      <dsp:spPr>
        <a:xfrm>
          <a:off x="3173165" y="0"/>
          <a:ext cx="1026914" cy="1766887"/>
        </a:xfrm>
        <a:prstGeom prst="roundRect">
          <a:avLst>
            <a:gd name="adj" fmla="val 10000"/>
          </a:avLst>
        </a:prstGeom>
        <a:solidFill>
          <a:schemeClr val="tx1">
            <a:lumMod val="65000"/>
            <a:lumOff val="3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Produtos Cadastrados</a:t>
          </a:r>
        </a:p>
      </dsp:txBody>
      <dsp:txXfrm>
        <a:off x="3173165" y="706754"/>
        <a:ext cx="1026914" cy="706754"/>
      </dsp:txXfrm>
    </dsp:sp>
    <dsp:sp modelId="{8C179DE7-B374-49FD-B11A-98150C94FF3E}">
      <dsp:nvSpPr>
        <dsp:cNvPr id="0" name=""/>
        <dsp:cNvSpPr/>
      </dsp:nvSpPr>
      <dsp:spPr>
        <a:xfrm>
          <a:off x="3392435" y="106013"/>
          <a:ext cx="588373" cy="588373"/>
        </a:xfrm>
        <a:prstGeom prst="ellipse">
          <a:avLst/>
        </a:prstGeom>
        <a:solidFill>
          <a:schemeClr val="accent3">
            <a:tint val="50000"/>
            <a:hueOff val="1555677"/>
            <a:satOff val="75000"/>
            <a:lumOff val="1487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551571A-D37F-475D-9931-4FC3B165DF46}">
      <dsp:nvSpPr>
        <dsp:cNvPr id="0" name=""/>
        <dsp:cNvSpPr/>
      </dsp:nvSpPr>
      <dsp:spPr>
        <a:xfrm>
          <a:off x="4230886" y="0"/>
          <a:ext cx="1026914" cy="1766887"/>
        </a:xfrm>
        <a:prstGeom prst="roundRect">
          <a:avLst>
            <a:gd name="adj" fmla="val 10000"/>
          </a:avLst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Compras Efetuadas</a:t>
          </a:r>
        </a:p>
      </dsp:txBody>
      <dsp:txXfrm>
        <a:off x="4230886" y="706754"/>
        <a:ext cx="1026914" cy="706754"/>
      </dsp:txXfrm>
    </dsp:sp>
    <dsp:sp modelId="{74DD849F-B514-44B5-BB34-61B58742FF47}">
      <dsp:nvSpPr>
        <dsp:cNvPr id="0" name=""/>
        <dsp:cNvSpPr/>
      </dsp:nvSpPr>
      <dsp:spPr>
        <a:xfrm>
          <a:off x="4450157" y="106013"/>
          <a:ext cx="588373" cy="588373"/>
        </a:xfrm>
        <a:prstGeom prst="ellipse">
          <a:avLst/>
        </a:prstGeom>
        <a:solidFill>
          <a:schemeClr val="accent3">
            <a:tint val="50000"/>
            <a:hueOff val="2074236"/>
            <a:satOff val="100000"/>
            <a:lumOff val="198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6F429B-75C7-48D4-B873-51732B23FB93}">
      <dsp:nvSpPr>
        <dsp:cNvPr id="0" name=""/>
        <dsp:cNvSpPr/>
      </dsp:nvSpPr>
      <dsp:spPr>
        <a:xfrm>
          <a:off x="210312" y="1413509"/>
          <a:ext cx="4837176" cy="265033"/>
        </a:xfrm>
        <a:prstGeom prst="leftRightArrow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7">
  <dgm:title val=""/>
  <dgm:desc val=""/>
  <dgm:catLst>
    <dgm:cat type="list" pri="12000"/>
    <dgm:cat type="process" pri="20000"/>
    <dgm:cat type="relationship" pri="14000"/>
    <dgm:cat type="convert" pri="8000"/>
    <dgm:cat type="picture" pri="25000"/>
    <dgm:cat type="pictureconvert" pri="2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fgShape" refType="w" fact="0.92"/>
      <dgm:constr type="h" for="ch" forName="fgShape" refType="h" fact="0.15"/>
      <dgm:constr type="b" for="ch" forName="fgShape" refType="h" fact="0.95"/>
      <dgm:constr type="ctrX" for="ch" forName="fgShape" refType="w" fact="0.5"/>
      <dgm:constr type="w" for="ch" forName="linComp" refType="w"/>
      <dgm:constr type="h" for="ch" forName="linComp" refType="h"/>
      <dgm:constr type="ctrX" for="ch" forName="linComp" refType="w" fact="0.5"/>
    </dgm:constrLst>
    <dgm:ruleLst/>
    <dgm:layoutNode name="fgShape" styleLbl="fgShp">
      <dgm:alg type="sp"/>
      <dgm:shape xmlns:r="http://schemas.openxmlformats.org/officeDocument/2006/relationships" type="leftRightArrow" r:blip="" zOrderOff="99999">
        <dgm:adjLst/>
      </dgm:shape>
      <dgm:presOf/>
      <dgm:constrLst/>
      <dgm:ruleLst/>
    </dgm:layoutNode>
    <dgm:layoutNode name="linComp">
      <dgm:choose name="Name1">
        <dgm:if name="Name2" func="var" arg="dir" op="equ" val="norm">
          <dgm:alg type="lin"/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Node" refType="w"/>
        <dgm:constr type="h" for="ch" forName="compNode" refType="h"/>
        <dgm:constr type="w" for="ch" ptType="sibTrans" refType="w" refFor="ch" refForName="compNode" fact="0.03"/>
        <dgm:constr type="primFontSz" for="des" ptType="node" op="equ" val="65"/>
      </dgm:constrLst>
      <dgm:ruleLst/>
      <dgm:forEach name="nodesForEach" axis="ch" ptType="node">
        <dgm:layoutNode name="comp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ch" forName="bkgdShape" refType="w"/>
            <dgm:constr type="h" for="ch" forName="bkgdShape" refType="h"/>
            <dgm:constr type="w" for="ch" forName="nodeTx" refType="w"/>
            <dgm:constr type="h" for="ch" forName="nodeTx" refType="h" fact="0.4"/>
            <dgm:constr type="b" for="ch" forName="nodeTx" refType="h" fact="0.8"/>
            <dgm:constr type="w" for="ch" forName="invisiNode" refType="w" fact="0.01"/>
            <dgm:constr type="h" for="ch" forName="invisiNode" refType="h" fact="0.06"/>
            <dgm:constr type="t" for="ch" forName="invisiNode"/>
            <dgm:constr type="ctrX" for="ch" forName="invisiNode" refType="w" fact="0.5"/>
            <dgm:constr type="h" for="ch" forName="imagNode" refType="h" fact="0.333"/>
            <dgm:constr type="w" for="ch" forName="imagNode" refType="h" refFor="ch" refForName="imagNode"/>
            <dgm:constr type="ctrX" for="ch" forName="imagNode" refType="w" fact="0.5"/>
            <dgm:constr type="t" for="ch" forName="imagNode" refType="h" fact="0.06"/>
            <dgm:constr type="w" for="ch" forName="imagNode" refType="w" op="lte" fact="0.94"/>
          </dgm:constrLst>
          <dgm:ruleLst/>
          <dgm:layoutNode name="bkgdShape"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nodeTx">
            <dgm:varLst>
              <dgm:bulletEnabled val="1"/>
            </dgm:varLst>
            <dgm:alg type="tx">
              <dgm:param type="txAnchorVert" val="mid"/>
              <dgm:param type="txAnchorHorzCh" val="ctr"/>
              <dgm:param type="stBulletLvl" val="2"/>
            </dgm:alg>
            <dgm:shape xmlns:r="http://schemas.openxmlformats.org/officeDocument/2006/relationships" type="rect" r:blip="" hideGeom="1">
              <dgm:adjLst/>
            </dgm:shape>
            <dgm:presOf axis="desOrSelf" ptType="node"/>
            <dgm:constrLst/>
            <dgm:ruleLst>
              <dgm:rule type="primFontSz" val="5" fact="NaN" max="NaN"/>
            </dgm:ruleLst>
          </dgm:layoutNode>
          <dgm:layoutNode name="invisiNode">
            <dgm:alg type="sp"/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/>
            <dgm:constrLst/>
            <dgm:ruleLst/>
          </dgm:layoutNode>
          <dgm:layoutNode name="imagNode" styleLbl="fgImgPlace1">
            <dgm:alg type="sp"/>
            <dgm:shape xmlns:r="http://schemas.openxmlformats.org/officeDocument/2006/relationships" type="ellipse" r:blip="" blipPhldr="1">
              <dgm:adjLst/>
            </dgm:shape>
            <dgm:presOf/>
            <dgm:constrLst/>
            <dgm:ruleLst/>
          </dgm:layoutNode>
        </dgm:layoutNode>
        <dgm:forEach name="sibTransForEach" axis="followSib" ptType="sibTrans" cnt="1">
          <dgm:layoutNode name="sibTrans">
            <dgm:alg type="sp"/>
            <dgm:shape xmlns:r="http://schemas.openxmlformats.org/officeDocument/2006/relationships" type="rect" r:blip="" hideGeom="1">
              <dgm:adjLst/>
            </dgm:shape>
            <dgm:presOf axis="self"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0.png"/><Relationship Id="rId18" Type="http://schemas.openxmlformats.org/officeDocument/2006/relationships/diagramQuickStyle" Target="../diagrams/quickStyle1.xml"/><Relationship Id="rId3" Type="http://schemas.openxmlformats.org/officeDocument/2006/relationships/image" Target="../media/image3.svg"/><Relationship Id="rId21" Type="http://schemas.openxmlformats.org/officeDocument/2006/relationships/image" Target="../media/image13.png"/><Relationship Id="rId7" Type="http://schemas.openxmlformats.org/officeDocument/2006/relationships/hyperlink" Target="#PEDIDOS!A1"/><Relationship Id="rId12" Type="http://schemas.openxmlformats.org/officeDocument/2006/relationships/image" Target="../media/image9.svg"/><Relationship Id="rId17" Type="http://schemas.openxmlformats.org/officeDocument/2006/relationships/diagramLayout" Target="../diagrams/layout1.xml"/><Relationship Id="rId2" Type="http://schemas.openxmlformats.org/officeDocument/2006/relationships/image" Target="../media/image2.png"/><Relationship Id="rId16" Type="http://schemas.openxmlformats.org/officeDocument/2006/relationships/diagramData" Target="../diagrams/data1.xml"/><Relationship Id="rId20" Type="http://schemas.microsoft.com/office/2007/relationships/diagramDrawing" Target="../diagrams/drawing1.xml"/><Relationship Id="rId1" Type="http://schemas.openxmlformats.org/officeDocument/2006/relationships/hyperlink" Target="#OPERACIONAL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5" Type="http://schemas.openxmlformats.org/officeDocument/2006/relationships/image" Target="../media/image12.png"/><Relationship Id="rId10" Type="http://schemas.openxmlformats.org/officeDocument/2006/relationships/hyperlink" Target="#ENCERRAR!A1"/><Relationship Id="rId19" Type="http://schemas.openxmlformats.org/officeDocument/2006/relationships/diagramColors" Target="../diagrams/colors1.xml"/><Relationship Id="rId4" Type="http://schemas.openxmlformats.org/officeDocument/2006/relationships/hyperlink" Target="#CONTAS!A1"/><Relationship Id="rId9" Type="http://schemas.openxmlformats.org/officeDocument/2006/relationships/image" Target="../media/image7.svg"/><Relationship Id="rId14" Type="http://schemas.openxmlformats.org/officeDocument/2006/relationships/image" Target="../media/image1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8.png"/><Relationship Id="rId3" Type="http://schemas.openxmlformats.org/officeDocument/2006/relationships/image" Target="../media/image15.svg"/><Relationship Id="rId7" Type="http://schemas.openxmlformats.org/officeDocument/2006/relationships/hyperlink" Target="#ENCERRAR!A1"/><Relationship Id="rId12" Type="http://schemas.openxmlformats.org/officeDocument/2006/relationships/image" Target="../media/image17.svg"/><Relationship Id="rId17" Type="http://schemas.openxmlformats.org/officeDocument/2006/relationships/image" Target="../media/image11.jpeg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1" Type="http://schemas.openxmlformats.org/officeDocument/2006/relationships/hyperlink" Target="#CONTAS!A1"/><Relationship Id="rId6" Type="http://schemas.openxmlformats.org/officeDocument/2006/relationships/image" Target="../media/image7.svg"/><Relationship Id="rId11" Type="http://schemas.openxmlformats.org/officeDocument/2006/relationships/image" Target="../media/image16.png"/><Relationship Id="rId5" Type="http://schemas.openxmlformats.org/officeDocument/2006/relationships/image" Target="../media/image6.png"/><Relationship Id="rId15" Type="http://schemas.openxmlformats.org/officeDocument/2006/relationships/image" Target="../media/image20.png"/><Relationship Id="rId10" Type="http://schemas.openxmlformats.org/officeDocument/2006/relationships/hyperlink" Target="#FINANCEIRO!A1"/><Relationship Id="rId4" Type="http://schemas.openxmlformats.org/officeDocument/2006/relationships/hyperlink" Target="#PEDIDOS!A1"/><Relationship Id="rId9" Type="http://schemas.openxmlformats.org/officeDocument/2006/relationships/image" Target="../media/image9.svg"/><Relationship Id="rId1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25.svg"/><Relationship Id="rId3" Type="http://schemas.openxmlformats.org/officeDocument/2006/relationships/image" Target="../media/image15.svg"/><Relationship Id="rId7" Type="http://schemas.openxmlformats.org/officeDocument/2006/relationships/hyperlink" Target="#OPERACIONAL!A1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2.svg"/><Relationship Id="rId11" Type="http://schemas.openxmlformats.org/officeDocument/2006/relationships/hyperlink" Target="#PEDIDOS!A1"/><Relationship Id="rId5" Type="http://schemas.openxmlformats.org/officeDocument/2006/relationships/image" Target="../media/image8.png"/><Relationship Id="rId15" Type="http://schemas.openxmlformats.org/officeDocument/2006/relationships/image" Target="../media/image27.png"/><Relationship Id="rId10" Type="http://schemas.openxmlformats.org/officeDocument/2006/relationships/image" Target="../media/image11.jpeg"/><Relationship Id="rId4" Type="http://schemas.openxmlformats.org/officeDocument/2006/relationships/hyperlink" Target="#ENCERRAR!A1"/><Relationship Id="rId9" Type="http://schemas.openxmlformats.org/officeDocument/2006/relationships/image" Target="../media/image23.svg"/><Relationship Id="rId14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EDIDOS!A1"/><Relationship Id="rId13" Type="http://schemas.openxmlformats.org/officeDocument/2006/relationships/hyperlink" Target="#ENCERRAR!A1"/><Relationship Id="rId3" Type="http://schemas.openxmlformats.org/officeDocument/2006/relationships/image" Target="../media/image15.svg"/><Relationship Id="rId7" Type="http://schemas.openxmlformats.org/officeDocument/2006/relationships/image" Target="../media/image11.jpeg"/><Relationship Id="rId12" Type="http://schemas.openxmlformats.org/officeDocument/2006/relationships/image" Target="../media/image30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3.svg"/><Relationship Id="rId11" Type="http://schemas.openxmlformats.org/officeDocument/2006/relationships/image" Target="../media/image29.png"/><Relationship Id="rId5" Type="http://schemas.openxmlformats.org/officeDocument/2006/relationships/image" Target="../media/image2.png"/><Relationship Id="rId15" Type="http://schemas.openxmlformats.org/officeDocument/2006/relationships/image" Target="../media/image32.svg"/><Relationship Id="rId10" Type="http://schemas.openxmlformats.org/officeDocument/2006/relationships/image" Target="../media/image28.svg"/><Relationship Id="rId4" Type="http://schemas.openxmlformats.org/officeDocument/2006/relationships/hyperlink" Target="#OPERACIONAL!A1"/><Relationship Id="rId9" Type="http://schemas.openxmlformats.org/officeDocument/2006/relationships/image" Target="../media/image6.png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svg"/><Relationship Id="rId2" Type="http://schemas.openxmlformats.org/officeDocument/2006/relationships/image" Target="../media/image37.png"/><Relationship Id="rId1" Type="http://schemas.openxmlformats.org/officeDocument/2006/relationships/image" Target="../media/image3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3826" y="1200150"/>
          <a:ext cx="7362824" cy="4933950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15" name="Retângulo: Cantos Superiores Arredondados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19" name="Retângulo: Cantos Superiores Arredondados 1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35</xdr:row>
      <xdr:rowOff>72572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-2352901" y="2896282"/>
          <a:ext cx="5906405" cy="1200604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9" name="Gráfico 8" descr="Gráfico de barras com tendência de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161926</xdr:rowOff>
    </xdr:from>
    <xdr:to>
      <xdr:col>3</xdr:col>
      <xdr:colOff>85725</xdr:colOff>
      <xdr:row>10</xdr:row>
      <xdr:rowOff>161926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09550" y="1495426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26" name="Gráfico 25" descr="Tranc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31" name="Gráfico 30" descr="Carrinho de compra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6" name="Gráfico 5" descr="Fecha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4762500" cy="405432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71575" y="1076325"/>
          <a:ext cx="47625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CONTAS E PRODUTOS</a:t>
          </a:r>
          <a:endParaRPr lang="pt-BR" sz="2000"/>
        </a:p>
      </xdr:txBody>
    </xdr:sp>
    <xdr:clientData/>
  </xdr:oneCellAnchor>
  <xdr:twoCellAnchor>
    <xdr:from>
      <xdr:col>3</xdr:col>
      <xdr:colOff>28574</xdr:colOff>
      <xdr:row>15</xdr:row>
      <xdr:rowOff>180975</xdr:rowOff>
    </xdr:from>
    <xdr:to>
      <xdr:col>7</xdr:col>
      <xdr:colOff>38100</xdr:colOff>
      <xdr:row>18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756681" y="3038475"/>
          <a:ext cx="2458812" cy="561975"/>
          <a:chOff x="4219574" y="3067050"/>
          <a:chExt cx="2362201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4219574" y="3067050"/>
            <a:ext cx="2362201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 baseline="0"/>
              <a:t>     MANUTENÇÃO </a:t>
            </a:r>
          </a:p>
          <a:p>
            <a:pPr algn="ctr"/>
            <a:r>
              <a:rPr lang="pt-BR" sz="1200" b="1" baseline="0"/>
              <a:t>    DE CONTAS</a:t>
            </a:r>
            <a:endParaRPr lang="pt-BR" sz="1400" b="1"/>
          </a:p>
        </xdr:txBody>
      </xdr: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825" y="3076574"/>
            <a:ext cx="504825" cy="5048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323851</xdr:colOff>
      <xdr:row>5</xdr:row>
      <xdr:rowOff>152401</xdr:rowOff>
    </xdr:from>
    <xdr:to>
      <xdr:col>12</xdr:col>
      <xdr:colOff>333375</xdr:colOff>
      <xdr:row>12</xdr:row>
      <xdr:rowOff>47625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6" y="1104901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</xdr:col>
      <xdr:colOff>57150</xdr:colOff>
      <xdr:row>12</xdr:row>
      <xdr:rowOff>9525</xdr:rowOff>
    </xdr:from>
    <xdr:to>
      <xdr:col>7</xdr:col>
      <xdr:colOff>9525</xdr:colOff>
      <xdr:row>15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85257" y="2295525"/>
          <a:ext cx="2401661" cy="561975"/>
          <a:chOff x="1590675" y="3057525"/>
          <a:chExt cx="2390775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[0]!criar_contas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590675" y="305752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CONTAS</a:t>
            </a:r>
            <a:endParaRPr lang="pt-BR" sz="1400" b="1"/>
          </a:p>
        </xdr:txBody>
      </xdr:sp>
      <xdr:pic macro="[0]!criar_contas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04975" y="3095625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581024</xdr:colOff>
      <xdr:row>20</xdr:row>
      <xdr:rowOff>38100</xdr:rowOff>
    </xdr:from>
    <xdr:to>
      <xdr:col>11</xdr:col>
      <xdr:colOff>352425</xdr:colOff>
      <xdr:row>29</xdr:row>
      <xdr:rowOff>90487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6" r:lo="rId17" r:qs="rId18" r:cs="rId19"/>
        </a:graphicData>
      </a:graphic>
    </xdr:graphicFrame>
    <xdr:clientData/>
  </xdr:twoCellAnchor>
  <xdr:twoCellAnchor>
    <xdr:from>
      <xdr:col>3</xdr:col>
      <xdr:colOff>133350</xdr:colOff>
      <xdr:row>20</xdr:row>
      <xdr:rowOff>142876</xdr:rowOff>
    </xdr:from>
    <xdr:to>
      <xdr:col>4</xdr:col>
      <xdr:colOff>219075</xdr:colOff>
      <xdr:row>24</xdr:row>
      <xdr:rowOff>28576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85737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533400</xdr:colOff>
      <xdr:row>20</xdr:row>
      <xdr:rowOff>142876</xdr:rowOff>
    </xdr:from>
    <xdr:to>
      <xdr:col>6</xdr:col>
      <xdr:colOff>9525</xdr:colOff>
      <xdr:row>24</xdr:row>
      <xdr:rowOff>28576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86702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104775</xdr:colOff>
      <xdr:row>20</xdr:row>
      <xdr:rowOff>133351</xdr:rowOff>
    </xdr:from>
    <xdr:to>
      <xdr:col>11</xdr:col>
      <xdr:colOff>190500</xdr:colOff>
      <xdr:row>24</xdr:row>
      <xdr:rowOff>19051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096000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419100</xdr:colOff>
      <xdr:row>20</xdr:row>
      <xdr:rowOff>133351</xdr:rowOff>
    </xdr:from>
    <xdr:to>
      <xdr:col>7</xdr:col>
      <xdr:colOff>504825</xdr:colOff>
      <xdr:row>24</xdr:row>
      <xdr:rowOff>19051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71925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238125</xdr:colOff>
      <xdr:row>20</xdr:row>
      <xdr:rowOff>142876</xdr:rowOff>
    </xdr:from>
    <xdr:to>
      <xdr:col>9</xdr:col>
      <xdr:colOff>323850</xdr:colOff>
      <xdr:row>24</xdr:row>
      <xdr:rowOff>28576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10150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323850</xdr:colOff>
      <xdr:row>13</xdr:row>
      <xdr:rowOff>180975</xdr:rowOff>
    </xdr:from>
    <xdr:to>
      <xdr:col>11</xdr:col>
      <xdr:colOff>276225</xdr:colOff>
      <xdr:row>16</xdr:row>
      <xdr:rowOff>171450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501243" y="2657475"/>
          <a:ext cx="2401661" cy="561975"/>
          <a:chOff x="4781550" y="3076575"/>
          <a:chExt cx="2390775" cy="561975"/>
        </a:xfrm>
      </xdr:grpSpPr>
      <xdr:sp macro="[0]!criar_produtos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4781550" y="307657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PRODUTOS</a:t>
            </a:r>
            <a:endParaRPr lang="pt-BR" sz="1400" b="1"/>
          </a:p>
        </xdr:txBody>
      </xdr:sp>
      <xdr:pic macro="[0]!criar_produtos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76800" y="3133725"/>
            <a:ext cx="504826" cy="4516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3826" y="1200150"/>
          <a:ext cx="7362824" cy="4933950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13</xdr:row>
      <xdr:rowOff>114301</xdr:rowOff>
    </xdr:from>
    <xdr:to>
      <xdr:col>3</xdr:col>
      <xdr:colOff>76200</xdr:colOff>
      <xdr:row>16</xdr:row>
      <xdr:rowOff>114301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00025" y="25908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8" name="Gráfico 7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9" name="Gráfico 8" descr="Carrinho de compr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10" name="Gráfico 9" descr="Fech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57151</xdr:colOff>
      <xdr:row>5</xdr:row>
      <xdr:rowOff>123825</xdr:rowOff>
    </xdr:from>
    <xdr:ext cx="3924300" cy="405432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71576" y="1076325"/>
          <a:ext cx="39243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GESTÃO OPERACIONAL FINANCEIRA</a:t>
          </a:r>
        </a:p>
      </xdr:txBody>
    </xdr:sp>
    <xdr:clientData/>
  </xdr:oneCellAnchor>
  <xdr:twoCellAnchor>
    <xdr:from>
      <xdr:col>3</xdr:col>
      <xdr:colOff>95250</xdr:colOff>
      <xdr:row>16</xdr:row>
      <xdr:rowOff>76200</xdr:rowOff>
    </xdr:from>
    <xdr:to>
      <xdr:col>7</xdr:col>
      <xdr:colOff>47625</xdr:colOff>
      <xdr:row>19</xdr:row>
      <xdr:rowOff>66675</xdr:rowOff>
    </xdr:to>
    <xdr:sp macro="[0]!chamar_subtotal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819275" y="31242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APURAÇÃO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SUBTOTAL</a:t>
          </a:r>
          <a:endParaRPr lang="pt-BR" sz="1400" b="1"/>
        </a:p>
      </xdr:txBody>
    </xdr:sp>
    <xdr:clientData/>
  </xdr:twoCellAnchor>
  <xdr:twoCellAnchor>
    <xdr:from>
      <xdr:col>7</xdr:col>
      <xdr:colOff>380999</xdr:colOff>
      <xdr:row>16</xdr:row>
      <xdr:rowOff>85725</xdr:rowOff>
    </xdr:from>
    <xdr:to>
      <xdr:col>11</xdr:col>
      <xdr:colOff>390525</xdr:colOff>
      <xdr:row>19</xdr:row>
      <xdr:rowOff>76200</xdr:rowOff>
    </xdr:to>
    <xdr:sp macro="[0]!chamar_consolida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543424" y="31337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CONSOLIDAÇÃO</a:t>
          </a:r>
        </a:p>
        <a:p>
          <a:pPr algn="ctr"/>
          <a:r>
            <a:rPr lang="pt-BR" sz="1200" b="1" baseline="0"/>
            <a:t>    DE VALORES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6" name="Gráfico 5" descr="Gráfico de barras com tendência descendent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16</xdr:row>
      <xdr:rowOff>133350</xdr:rowOff>
    </xdr:from>
    <xdr:to>
      <xdr:col>4</xdr:col>
      <xdr:colOff>19050</xdr:colOff>
      <xdr:row>19</xdr:row>
      <xdr:rowOff>38100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6425" y="3181350"/>
          <a:ext cx="476250" cy="47625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381000</xdr:colOff>
      <xdr:row>16</xdr:row>
      <xdr:rowOff>142875</xdr:rowOff>
    </xdr:from>
    <xdr:to>
      <xdr:col>8</xdr:col>
      <xdr:colOff>323850</xdr:colOff>
      <xdr:row>19</xdr:row>
      <xdr:rowOff>123825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25" y="3190875"/>
          <a:ext cx="552450" cy="5524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20</xdr:row>
      <xdr:rowOff>123825</xdr:rowOff>
    </xdr:from>
    <xdr:to>
      <xdr:col>7</xdr:col>
      <xdr:colOff>85725</xdr:colOff>
      <xdr:row>23</xdr:row>
      <xdr:rowOff>114300</xdr:rowOff>
    </xdr:to>
    <xdr:sp macro="[0]!chamar_tabDinamic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857375" y="393382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TABELA</a:t>
          </a:r>
        </a:p>
        <a:p>
          <a:pPr algn="ctr"/>
          <a:r>
            <a:rPr lang="pt-BR" sz="1200" b="1"/>
            <a:t>DINÂMICA</a:t>
          </a:r>
          <a:endParaRPr lang="pt-BR" sz="1400" b="1"/>
        </a:p>
      </xdr:txBody>
    </xdr:sp>
    <xdr:clientData/>
  </xdr:twoCellAnchor>
  <xdr:twoCellAnchor>
    <xdr:from>
      <xdr:col>7</xdr:col>
      <xdr:colOff>438150</xdr:colOff>
      <xdr:row>20</xdr:row>
      <xdr:rowOff>114300</xdr:rowOff>
    </xdr:from>
    <xdr:to>
      <xdr:col>11</xdr:col>
      <xdr:colOff>390525</xdr:colOff>
      <xdr:row>23</xdr:row>
      <xdr:rowOff>104775</xdr:rowOff>
    </xdr:to>
    <xdr:sp macro="[0]!chamar_grafic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600575" y="39243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SAÚDE</a:t>
          </a:r>
        </a:p>
        <a:p>
          <a:pPr algn="ctr"/>
          <a:r>
            <a:rPr lang="pt-BR" sz="1200" b="1"/>
            <a:t>     FINANCEIRA</a:t>
          </a:r>
          <a:endParaRPr lang="pt-BR" sz="1400" b="1"/>
        </a:p>
      </xdr:txBody>
    </xdr:sp>
    <xdr:clientData/>
  </xdr:twoCellAnchor>
  <xdr:twoCellAnchor editAs="oneCell">
    <xdr:from>
      <xdr:col>3</xdr:col>
      <xdr:colOff>142875</xdr:colOff>
      <xdr:row>20</xdr:row>
      <xdr:rowOff>133350</xdr:rowOff>
    </xdr:from>
    <xdr:to>
      <xdr:col>4</xdr:col>
      <xdr:colOff>76200</xdr:colOff>
      <xdr:row>23</xdr:row>
      <xdr:rowOff>104775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943350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504825</xdr:colOff>
      <xdr:row>20</xdr:row>
      <xdr:rowOff>95250</xdr:rowOff>
    </xdr:from>
    <xdr:to>
      <xdr:col>8</xdr:col>
      <xdr:colOff>495300</xdr:colOff>
      <xdr:row>23</xdr:row>
      <xdr:rowOff>123825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3905250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23826" y="1200150"/>
          <a:ext cx="7362824" cy="4933950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19</xdr:row>
      <xdr:rowOff>76201</xdr:rowOff>
    </xdr:from>
    <xdr:to>
      <xdr:col>3</xdr:col>
      <xdr:colOff>57150</xdr:colOff>
      <xdr:row>22</xdr:row>
      <xdr:rowOff>76201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0975" y="36957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9" name="Gráfico 8" descr="Fech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380862" cy="405432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71575" y="1076325"/>
          <a:ext cx="3380862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PEDIDOS</a:t>
          </a:r>
          <a:endParaRPr lang="pt-BR" sz="2000"/>
        </a:p>
      </xdr:txBody>
    </xdr:sp>
    <xdr:clientData/>
  </xdr:oneCellAnchor>
  <xdr:twoCellAnchor>
    <xdr:from>
      <xdr:col>3</xdr:col>
      <xdr:colOff>19050</xdr:colOff>
      <xdr:row>17</xdr:row>
      <xdr:rowOff>28575</xdr:rowOff>
    </xdr:from>
    <xdr:to>
      <xdr:col>6</xdr:col>
      <xdr:colOff>581025</xdr:colOff>
      <xdr:row>20</xdr:row>
      <xdr:rowOff>19050</xdr:rowOff>
    </xdr:to>
    <xdr:sp macro="[0]!chamar_pedid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43075" y="326707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     NOVAS</a:t>
          </a:r>
        </a:p>
        <a:p>
          <a:pPr algn="ctr"/>
          <a:r>
            <a:rPr lang="pt-BR" sz="1200" b="1"/>
            <a:t>          COMPRAS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9525</xdr:rowOff>
    </xdr:from>
    <xdr:to>
      <xdr:col>11</xdr:col>
      <xdr:colOff>190500</xdr:colOff>
      <xdr:row>20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343399" y="32480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       VISUALIZAR</a:t>
          </a:r>
        </a:p>
        <a:p>
          <a:pPr algn="ctr"/>
          <a:r>
            <a:rPr lang="pt-BR" sz="1200" b="1" baseline="0"/>
            <a:t>           COMPRAS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3" name="Gráfico 12" descr="Gráfico de barras com tendência descendent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333375</xdr:colOff>
      <xdr:row>16</xdr:row>
      <xdr:rowOff>161925</xdr:rowOff>
    </xdr:from>
    <xdr:to>
      <xdr:col>8</xdr:col>
      <xdr:colOff>314325</xdr:colOff>
      <xdr:row>19</xdr:row>
      <xdr:rowOff>180975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0" y="3209925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133351</xdr:colOff>
      <xdr:row>16</xdr:row>
      <xdr:rowOff>180976</xdr:rowOff>
    </xdr:from>
    <xdr:to>
      <xdr:col>4</xdr:col>
      <xdr:colOff>171451</xdr:colOff>
      <xdr:row>20</xdr:row>
      <xdr:rowOff>66676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376" y="3228976"/>
          <a:ext cx="6477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3826" y="1200150"/>
          <a:ext cx="7362824" cy="4933950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25</xdr:row>
      <xdr:rowOff>152401</xdr:rowOff>
    </xdr:from>
    <xdr:to>
      <xdr:col>3</xdr:col>
      <xdr:colOff>57150</xdr:colOff>
      <xdr:row>28</xdr:row>
      <xdr:rowOff>152401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80975" y="49149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795206" cy="405432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171575" y="1076325"/>
          <a:ext cx="3795206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LOGOUT</a:t>
          </a:r>
          <a:r>
            <a:rPr lang="pt-BR" sz="2000" baseline="0"/>
            <a:t> E ENCERRAMENTO EXCEL</a:t>
          </a:r>
          <a:endParaRPr lang="pt-BR" sz="2000"/>
        </a:p>
      </xdr:txBody>
    </xdr:sp>
    <xdr:clientData/>
  </xdr:oneCellAnchor>
  <xdr:twoCellAnchor>
    <xdr:from>
      <xdr:col>3</xdr:col>
      <xdr:colOff>28575</xdr:colOff>
      <xdr:row>17</xdr:row>
      <xdr:rowOff>142875</xdr:rowOff>
    </xdr:from>
    <xdr:to>
      <xdr:col>6</xdr:col>
      <xdr:colOff>590550</xdr:colOff>
      <xdr:row>20</xdr:row>
      <xdr:rowOff>133350</xdr:rowOff>
    </xdr:to>
    <xdr:sp macro="[0]!encerrar_con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806575" y="3254375"/>
          <a:ext cx="2385332" cy="534761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/>
            <a:t>      </a:t>
          </a:r>
        </a:p>
        <a:p>
          <a:pPr algn="ctr"/>
          <a:r>
            <a:rPr lang="pt-BR" sz="1200" b="1"/>
            <a:t>     ENCERRAR</a:t>
          </a:r>
          <a:r>
            <a:rPr lang="pt-BR" sz="1200" b="1" baseline="0"/>
            <a:t> CONTA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161925</xdr:rowOff>
    </xdr:from>
    <xdr:to>
      <xdr:col>11</xdr:col>
      <xdr:colOff>190500</xdr:colOff>
      <xdr:row>20</xdr:row>
      <xdr:rowOff>152400</xdr:rowOff>
    </xdr:to>
    <xdr:sp macro="[0]!btn_sairExcel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43399" y="34004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 baseline="0"/>
            <a:t>       </a:t>
          </a:r>
        </a:p>
        <a:p>
          <a:pPr algn="ctr"/>
          <a:r>
            <a:rPr lang="pt-BR" sz="1200" b="1" baseline="0"/>
            <a:t>        SAIR DO EXCEL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2" name="Gráfico 11" descr="Gráfico de barras com tendência de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14" name="Gráfico 13" descr="Carrinho de comp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18</xdr:row>
      <xdr:rowOff>47625</xdr:rowOff>
    </xdr:from>
    <xdr:to>
      <xdr:col>8</xdr:col>
      <xdr:colOff>123825</xdr:colOff>
      <xdr:row>20</xdr:row>
      <xdr:rowOff>76200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3476625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18</xdr:row>
      <xdr:rowOff>19050</xdr:rowOff>
    </xdr:from>
    <xdr:to>
      <xdr:col>3</xdr:col>
      <xdr:colOff>504825</xdr:colOff>
      <xdr:row>20</xdr:row>
      <xdr:rowOff>95250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344805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8" name="Gráfico 7" descr="Fechar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161925</xdr:rowOff>
    </xdr:from>
    <xdr:to>
      <xdr:col>2</xdr:col>
      <xdr:colOff>19049</xdr:colOff>
      <xdr:row>6</xdr:row>
      <xdr:rowOff>85724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161925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190500</xdr:rowOff>
        </xdr:from>
        <xdr:to>
          <xdr:col>10</xdr:col>
          <xdr:colOff>9525</xdr:colOff>
          <xdr:row>22</xdr:row>
          <xdr:rowOff>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13">
      <xdr:nvSpPr>
        <xdr:cNvPr id="18" name="Retângulo Arredondad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apuração de subtotais, definindo o total de faturamento mensal de cada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2</xdr:row>
          <xdr:rowOff>38100</xdr:rowOff>
        </xdr:from>
        <xdr:to>
          <xdr:col>5</xdr:col>
          <xdr:colOff>371475</xdr:colOff>
          <xdr:row>4</xdr:row>
          <xdr:rowOff>57150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Consolidar a média de faturamento mensal de cada empresa fornecedora de produtos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5</xdr:col>
          <xdr:colOff>1809750</xdr:colOff>
          <xdr:row>5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5</xdr:col>
      <xdr:colOff>1133474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28776" y="304802"/>
          <a:ext cx="5591173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uma tabela dinâmica, conforme referências, como seguem: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</xdr:row>
          <xdr:rowOff>104775</xdr:rowOff>
        </xdr:from>
        <xdr:to>
          <xdr:col>8</xdr:col>
          <xdr:colOff>1400175</xdr:colOff>
          <xdr:row>3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361949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438151</xdr:colOff>
      <xdr:row>1</xdr:row>
      <xdr:rowOff>28577</xdr:rowOff>
    </xdr:from>
    <xdr:to>
      <xdr:col>7</xdr:col>
      <xdr:colOff>1590675</xdr:colOff>
      <xdr:row>6</xdr:row>
      <xdr:rowOff>28575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676401" y="219077"/>
          <a:ext cx="6115049" cy="95249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 gráfico tipo (linha) em uma "nova planilha", traçando um comparativo de vendas mensais em relação a meta da referida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142875</xdr:rowOff>
        </xdr:from>
        <xdr:to>
          <xdr:col>10</xdr:col>
          <xdr:colOff>476250</xdr:colOff>
          <xdr:row>3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7150"/>
          <a:ext cx="1273174" cy="12096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7</xdr:col>
      <xdr:colOff>48315</xdr:colOff>
      <xdr:row>8</xdr:row>
      <xdr:rowOff>82826</xdr:rowOff>
    </xdr:from>
    <xdr:to>
      <xdr:col>8</xdr:col>
      <xdr:colOff>317500</xdr:colOff>
      <xdr:row>10</xdr:row>
      <xdr:rowOff>158750</xdr:rowOff>
    </xdr:to>
    <xdr:pic macro="[0]!atualizar_status">
      <xdr:nvPicPr>
        <xdr:cNvPr id="4" name="Gráfico 3" descr="Repetir">
          <a:extLst>
            <a:ext uri="{FF2B5EF4-FFF2-40B4-BE49-F238E27FC236}">
              <a16:creationId xmlns:a16="http://schemas.microsoft.com/office/drawing/2014/main" id="{699B90C5-B78D-4358-8497-A32D2E38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779565" y="1677228"/>
          <a:ext cx="427935" cy="42793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gJeep" refreshedDate="45907.807347337963" createdVersion="8" refreshedVersion="8" minRefreshableVersion="3" recordCount="14" xr:uid="{17C875B4-6864-4A01-9357-14F13BD329BD}">
  <cacheSource type="worksheet">
    <worksheetSource ref="B10:F24" sheet="TAB_DINA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64">
      <sharedItems containsSemiMixedTypes="0" containsString="0" containsNumber="1" containsInteger="1" minValue="21" maxValue="9876"/>
    </cacheField>
    <cacheField name="Fevereiro" numFmtId="164">
      <sharedItems containsSemiMixedTypes="0" containsString="0" containsNumber="1" containsInteger="1" minValue="2" maxValue="5534"/>
    </cacheField>
    <cacheField name="Março" numFmtId="164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5EBDC-21A6-43CB-890A-7FCFF89C6ADE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0:L25" firstHeaderRow="0" firstDataRow="1" firstDataCol="1" rowPageCount="1" colPageCount="1"/>
  <pivotFields count="5">
    <pivotField axis="axisRow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showAll="0">
      <items count="4">
        <item x="2"/>
        <item x="0"/>
        <item x="1"/>
        <item t="default"/>
      </items>
    </pivotField>
    <pivotField dataField="1" numFmtId="164" showAll="0"/>
    <pivotField dataField="1" numFmtId="164" showAll="0"/>
    <pivotField dataField="1" numFmtId="164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 of Janeiro" fld="2" baseField="0" baseItem="0" numFmtId="164"/>
    <dataField name="Sum of Fevereiro" fld="3" baseField="0" baseItem="0" numFmtId="164"/>
    <dataField name="Sum of Março" fld="4" baseField="0" baseItem="0" numFmtId="164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.xml"/><Relationship Id="rId4" Type="http://schemas.openxmlformats.org/officeDocument/2006/relationships/image" Target="../media/image33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image" Target="../media/image33.png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.xml"/><Relationship Id="rId4" Type="http://schemas.openxmlformats.org/officeDocument/2006/relationships/image" Target="../media/image33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image" Target="../media/image33.png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.xml"/><Relationship Id="rId4" Type="http://schemas.openxmlformats.org/officeDocument/2006/relationships/image" Target="../media/image33.png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AC489"/>
  <sheetViews>
    <sheetView showGridLines="0" tabSelected="1" zoomScale="70" zoomScaleNormal="70" workbookViewId="0"/>
  </sheetViews>
  <sheetFormatPr defaultRowHeight="15" x14ac:dyDescent="0.25"/>
  <cols>
    <col min="1" max="1" width="7.5703125" customWidth="1"/>
    <col min="3" max="3" width="9.140625" customWidth="1"/>
    <col min="25" max="28" width="9.140625" style="1"/>
    <col min="29" max="29" width="10.28515625" style="1" customWidth="1"/>
  </cols>
  <sheetData>
    <row r="1" spans="3:29" x14ac:dyDescent="0.25">
      <c r="Y1"/>
      <c r="Z1"/>
      <c r="AA1"/>
      <c r="AB1"/>
      <c r="AC1"/>
    </row>
    <row r="2" spans="3:29" ht="15" customHeight="1" x14ac:dyDescent="0.25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  <c r="Y2"/>
      <c r="Z2"/>
      <c r="AA2"/>
      <c r="AB2"/>
      <c r="AC2"/>
    </row>
    <row r="3" spans="3:29" ht="15" customHeight="1" x14ac:dyDescent="0.25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  <c r="Y3"/>
      <c r="Z3"/>
      <c r="AA3"/>
      <c r="AB3"/>
      <c r="AC3"/>
    </row>
    <row r="4" spans="3:29" ht="15" customHeight="1" x14ac:dyDescent="0.25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  <c r="Y4"/>
      <c r="Z4"/>
      <c r="AA4"/>
      <c r="AB4"/>
      <c r="AC4"/>
    </row>
    <row r="5" spans="3:29" x14ac:dyDescent="0.25">
      <c r="Y5"/>
      <c r="Z5"/>
      <c r="AA5"/>
      <c r="AB5"/>
      <c r="AC5"/>
    </row>
    <row r="6" spans="3:29" x14ac:dyDescent="0.25">
      <c r="Y6"/>
      <c r="Z6"/>
      <c r="AA6"/>
      <c r="AB6"/>
      <c r="AC6"/>
    </row>
    <row r="7" spans="3:29" x14ac:dyDescent="0.25">
      <c r="Y7"/>
      <c r="Z7"/>
      <c r="AA7"/>
      <c r="AB7"/>
      <c r="AC7"/>
    </row>
    <row r="8" spans="3:29" x14ac:dyDescent="0.25">
      <c r="Y8"/>
      <c r="Z8"/>
      <c r="AA8"/>
      <c r="AB8"/>
      <c r="AC8"/>
    </row>
    <row r="9" spans="3:29" x14ac:dyDescent="0.25">
      <c r="Y9"/>
      <c r="Z9"/>
      <c r="AA9"/>
      <c r="AB9"/>
      <c r="AC9"/>
    </row>
    <row r="10" spans="3:29" x14ac:dyDescent="0.25">
      <c r="Y10"/>
      <c r="Z10"/>
      <c r="AA10"/>
      <c r="AB10"/>
      <c r="AC10"/>
    </row>
    <row r="11" spans="3:29" x14ac:dyDescent="0.25">
      <c r="Y11"/>
      <c r="Z11"/>
      <c r="AA11"/>
      <c r="AB11"/>
      <c r="AC11"/>
    </row>
    <row r="12" spans="3:29" x14ac:dyDescent="0.25">
      <c r="Y12"/>
      <c r="Z12"/>
      <c r="AA12"/>
      <c r="AB12"/>
      <c r="AC12"/>
    </row>
    <row r="13" spans="3:29" x14ac:dyDescent="0.25">
      <c r="Y13"/>
      <c r="Z13"/>
      <c r="AA13"/>
      <c r="AB13"/>
      <c r="AC13"/>
    </row>
    <row r="14" spans="3:29" x14ac:dyDescent="0.25">
      <c r="Y14"/>
      <c r="Z14"/>
      <c r="AA14"/>
      <c r="AB14"/>
      <c r="AC14"/>
    </row>
    <row r="15" spans="3:29" x14ac:dyDescent="0.25">
      <c r="Y15"/>
      <c r="Z15"/>
      <c r="AA15"/>
      <c r="AB15"/>
      <c r="AC15"/>
    </row>
    <row r="16" spans="3:29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Y16"/>
      <c r="Z16"/>
      <c r="AA16"/>
      <c r="AB16"/>
      <c r="AC16"/>
    </row>
    <row r="17" spans="3:29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Y17"/>
      <c r="Z17"/>
      <c r="AA17"/>
      <c r="AB17"/>
      <c r="AC17"/>
    </row>
    <row r="18" spans="3:29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Y18"/>
      <c r="Z18"/>
      <c r="AA18"/>
      <c r="AB18"/>
      <c r="AC18"/>
    </row>
    <row r="19" spans="3:29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Y19"/>
      <c r="Z19"/>
      <c r="AA19"/>
      <c r="AB19"/>
      <c r="AC19"/>
    </row>
    <row r="20" spans="3:29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Y20"/>
      <c r="Z20"/>
      <c r="AA20"/>
      <c r="AB20"/>
      <c r="AC20"/>
    </row>
    <row r="21" spans="3:29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Y21"/>
      <c r="Z21"/>
      <c r="AA21"/>
      <c r="AB21"/>
      <c r="AC21"/>
    </row>
    <row r="22" spans="3:29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Y22"/>
      <c r="Z22"/>
      <c r="AA22"/>
      <c r="AB22"/>
      <c r="AC22"/>
    </row>
    <row r="23" spans="3:29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Y23"/>
      <c r="Z23"/>
      <c r="AA23"/>
      <c r="AB23"/>
      <c r="AC23"/>
    </row>
    <row r="24" spans="3:29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Y24"/>
      <c r="Z24"/>
      <c r="AA24"/>
      <c r="AB24"/>
      <c r="AC24"/>
    </row>
    <row r="25" spans="3:29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Y25"/>
      <c r="Z25"/>
      <c r="AA25"/>
      <c r="AB25"/>
      <c r="AC25"/>
    </row>
    <row r="26" spans="3:29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Y26"/>
      <c r="Z26"/>
      <c r="AA26"/>
      <c r="AB26"/>
      <c r="AC26"/>
    </row>
    <row r="27" spans="3:29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Y27"/>
      <c r="Z27"/>
      <c r="AA27"/>
      <c r="AB27"/>
      <c r="AC27"/>
    </row>
    <row r="28" spans="3:29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Y28"/>
      <c r="Z28"/>
      <c r="AA28"/>
      <c r="AB28"/>
      <c r="AC28"/>
    </row>
    <row r="29" spans="3:29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Y29"/>
      <c r="Z29"/>
      <c r="AA29"/>
      <c r="AB29"/>
      <c r="AC29"/>
    </row>
    <row r="30" spans="3:29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Y30"/>
      <c r="Z30"/>
      <c r="AA30"/>
      <c r="AB30"/>
      <c r="AC30"/>
    </row>
    <row r="31" spans="3:29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Y31"/>
      <c r="Z31"/>
      <c r="AA31"/>
      <c r="AB31"/>
      <c r="AC31"/>
    </row>
    <row r="32" spans="3:29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Y32"/>
      <c r="Z32"/>
      <c r="AA32"/>
      <c r="AB32"/>
      <c r="AC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AC37"/>
  <sheetViews>
    <sheetView showGridLines="0" zoomScale="70" zoomScaleNormal="70" workbookViewId="0"/>
  </sheetViews>
  <sheetFormatPr defaultRowHeight="15" x14ac:dyDescent="0.25"/>
  <cols>
    <col min="1" max="1" width="7.5703125" customWidth="1"/>
    <col min="3" max="3" width="9.140625" customWidth="1"/>
    <col min="25" max="28" width="9.140625" style="1"/>
    <col min="29" max="29" width="10.28515625" style="1" customWidth="1"/>
  </cols>
  <sheetData>
    <row r="2" spans="3:24" ht="15" customHeight="1" x14ac:dyDescent="0.25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 x14ac:dyDescent="0.25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 x14ac:dyDescent="0.25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 x14ac:dyDescent="0.25">
      <c r="W11" s="1"/>
      <c r="X11" s="1"/>
    </row>
    <row r="12" spans="3:24" x14ac:dyDescent="0.25">
      <c r="W12" s="1"/>
      <c r="X12" s="1"/>
    </row>
    <row r="13" spans="3:24" x14ac:dyDescent="0.25">
      <c r="W13" s="1"/>
      <c r="X13" s="1"/>
    </row>
    <row r="14" spans="3:24" x14ac:dyDescent="0.25">
      <c r="W14" s="1"/>
      <c r="X14" s="1"/>
    </row>
    <row r="15" spans="3:24" x14ac:dyDescent="0.25">
      <c r="W15" s="1"/>
      <c r="X15" s="1"/>
    </row>
    <row r="16" spans="3:24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 x14ac:dyDescent="0.25"/>
    <row r="37" spans="1:24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AC37"/>
  <sheetViews>
    <sheetView showGridLines="0" zoomScale="70" zoomScaleNormal="70" workbookViewId="0"/>
  </sheetViews>
  <sheetFormatPr defaultRowHeight="15" x14ac:dyDescent="0.25"/>
  <cols>
    <col min="1" max="1" width="7.5703125" customWidth="1"/>
    <col min="3" max="3" width="9.140625" customWidth="1"/>
    <col min="25" max="28" width="9.140625" style="1"/>
    <col min="29" max="29" width="10.28515625" style="1" customWidth="1"/>
  </cols>
  <sheetData>
    <row r="2" spans="3:24" ht="15" customHeight="1" x14ac:dyDescent="0.25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 x14ac:dyDescent="0.25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 x14ac:dyDescent="0.25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 x14ac:dyDescent="0.25">
      <c r="W11" s="1"/>
      <c r="X11" s="1"/>
    </row>
    <row r="12" spans="3:24" x14ac:dyDescent="0.25">
      <c r="W12" s="1"/>
      <c r="X12" s="1"/>
    </row>
    <row r="13" spans="3:24" x14ac:dyDescent="0.25">
      <c r="W13" s="1"/>
      <c r="X13" s="1"/>
    </row>
    <row r="14" spans="3:24" x14ac:dyDescent="0.25">
      <c r="W14" s="1"/>
      <c r="X14" s="1"/>
    </row>
    <row r="15" spans="3:24" x14ac:dyDescent="0.25">
      <c r="W15" s="1"/>
      <c r="X15" s="1"/>
    </row>
    <row r="16" spans="3:24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 x14ac:dyDescent="0.25"/>
    <row r="37" spans="1:24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AC37"/>
  <sheetViews>
    <sheetView showGridLines="0" zoomScale="70" zoomScaleNormal="70" workbookViewId="0"/>
  </sheetViews>
  <sheetFormatPr defaultRowHeight="15" x14ac:dyDescent="0.25"/>
  <cols>
    <col min="1" max="1" width="7.5703125" customWidth="1"/>
    <col min="3" max="3" width="9.140625" customWidth="1"/>
    <col min="25" max="28" width="9.140625" style="1"/>
    <col min="29" max="29" width="10.28515625" style="1" customWidth="1"/>
  </cols>
  <sheetData>
    <row r="2" spans="3:24" ht="15" customHeight="1" x14ac:dyDescent="0.25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 x14ac:dyDescent="0.25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 x14ac:dyDescent="0.25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 x14ac:dyDescent="0.25">
      <c r="W11" s="1"/>
      <c r="X11" s="1"/>
    </row>
    <row r="12" spans="3:24" x14ac:dyDescent="0.25">
      <c r="W12" s="1"/>
      <c r="X12" s="1"/>
    </row>
    <row r="13" spans="3:24" x14ac:dyDescent="0.25">
      <c r="W13" s="1"/>
      <c r="X13" s="1"/>
    </row>
    <row r="14" spans="3:24" x14ac:dyDescent="0.25">
      <c r="W14" s="1"/>
      <c r="X14" s="1"/>
    </row>
    <row r="15" spans="3:24" x14ac:dyDescent="0.25">
      <c r="W15" s="1"/>
      <c r="X15" s="1"/>
    </row>
    <row r="16" spans="3:24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 x14ac:dyDescent="0.25"/>
    <row r="37" spans="1:24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AC117"/>
  <sheetViews>
    <sheetView showGridLines="0" zoomScale="85" zoomScaleNormal="85" workbookViewId="0">
      <selection activeCell="P27" sqref="P27"/>
    </sheetView>
  </sheetViews>
  <sheetFormatPr defaultRowHeight="15" x14ac:dyDescent="0.25"/>
  <cols>
    <col min="1" max="1" width="3.140625" customWidth="1"/>
    <col min="2" max="2" width="18.140625" style="1" customWidth="1"/>
    <col min="3" max="3" width="18.5703125" style="1" customWidth="1"/>
    <col min="4" max="4" width="14" style="1" customWidth="1"/>
    <col min="5" max="5" width="12.28515625" style="1" customWidth="1"/>
    <col min="6" max="6" width="18.42578125" style="1" customWidth="1"/>
    <col min="7" max="7" width="12" style="1" customWidth="1"/>
    <col min="8" max="8" width="16" style="1" customWidth="1"/>
    <col min="9" max="9" width="11.42578125" style="1" customWidth="1"/>
    <col min="10" max="10" width="5.85546875" style="1" customWidth="1"/>
    <col min="11" max="11" width="7.28515625" customWidth="1"/>
    <col min="15" max="15" width="8.85546875" customWidth="1"/>
    <col min="25" max="28" width="9.140625" style="1"/>
    <col min="29" max="29" width="10.28515625" style="1" customWidth="1"/>
  </cols>
  <sheetData>
    <row r="1" spans="1:24" ht="22.5" customHeight="1" thickBot="1" x14ac:dyDescent="0.3">
      <c r="A1">
        <v>2</v>
      </c>
    </row>
    <row r="2" spans="1:24" ht="19.5" thickBot="1" x14ac:dyDescent="0.3">
      <c r="C2" s="102" t="s">
        <v>70</v>
      </c>
      <c r="D2" s="96"/>
      <c r="E2" s="80"/>
      <c r="F2" s="207"/>
      <c r="G2" s="207"/>
      <c r="H2" s="207"/>
      <c r="I2" s="207"/>
      <c r="J2" s="207"/>
      <c r="K2" s="207"/>
    </row>
    <row r="3" spans="1:24" s="1" customFormat="1" ht="15" customHeight="1" thickBot="1" x14ac:dyDescent="0.3">
      <c r="A3"/>
      <c r="C3" s="81"/>
      <c r="D3" s="81"/>
      <c r="E3" s="82"/>
      <c r="F3" s="83"/>
      <c r="G3" s="83"/>
      <c r="H3" s="83"/>
      <c r="I3" s="83"/>
      <c r="J3" s="83"/>
      <c r="K3" s="83"/>
      <c r="L3" s="19"/>
      <c r="M3" s="19"/>
      <c r="N3" s="19"/>
      <c r="O3" s="19"/>
      <c r="P3" s="4"/>
      <c r="Q3" s="4"/>
      <c r="R3" s="4"/>
      <c r="S3" s="93"/>
      <c r="T3" s="3"/>
      <c r="U3" s="3"/>
      <c r="V3" s="3"/>
      <c r="W3" s="3"/>
      <c r="X3"/>
    </row>
    <row r="4" spans="1:24" s="1" customFormat="1" ht="15" customHeight="1" thickBot="1" x14ac:dyDescent="0.35">
      <c r="A4"/>
      <c r="C4" s="225" t="s">
        <v>71</v>
      </c>
      <c r="D4" s="226"/>
      <c r="E4" s="226"/>
      <c r="F4" s="226"/>
      <c r="G4" s="226"/>
      <c r="H4" s="226"/>
      <c r="I4" s="226"/>
      <c r="J4" s="227"/>
      <c r="K4" s="94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C5" s="103" t="s">
        <v>72</v>
      </c>
      <c r="D5" s="228"/>
      <c r="E5" s="229"/>
      <c r="F5" s="229"/>
      <c r="G5" s="229"/>
      <c r="H5" s="229"/>
      <c r="I5" s="229"/>
      <c r="J5" s="230"/>
      <c r="K5" s="95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ht="15.75" thickBot="1" x14ac:dyDescent="0.3">
      <c r="C6" s="104" t="s">
        <v>73</v>
      </c>
      <c r="D6" s="208"/>
      <c r="E6" s="209"/>
      <c r="F6" s="210" t="s">
        <v>74</v>
      </c>
      <c r="G6" s="211"/>
      <c r="H6" s="231"/>
      <c r="I6" s="232"/>
      <c r="J6" s="233"/>
      <c r="K6" s="95"/>
      <c r="L6" s="23"/>
      <c r="M6" s="23"/>
      <c r="N6" s="23"/>
      <c r="O6" s="23"/>
    </row>
    <row r="8" spans="1:24" ht="15" customHeight="1" thickBot="1" x14ac:dyDescent="0.35">
      <c r="B8" s="224"/>
      <c r="C8" s="224"/>
      <c r="D8" s="224"/>
      <c r="F8" s="224"/>
      <c r="G8" s="224"/>
      <c r="H8" s="224"/>
    </row>
    <row r="9" spans="1:24" s="1" customFormat="1" ht="16.5" thickBot="1" x14ac:dyDescent="0.3">
      <c r="A9"/>
      <c r="B9" s="212" t="s">
        <v>75</v>
      </c>
      <c r="C9" s="213"/>
      <c r="D9" s="213"/>
      <c r="E9" s="213"/>
      <c r="F9" s="213"/>
      <c r="G9" s="213"/>
      <c r="H9" s="213"/>
      <c r="I9" s="213"/>
      <c r="J9" s="214"/>
      <c r="K9"/>
      <c r="L9" s="215" t="s">
        <v>76</v>
      </c>
      <c r="M9" s="216"/>
      <c r="N9" s="216"/>
      <c r="O9" s="216"/>
      <c r="P9" s="216"/>
      <c r="Q9" s="217"/>
    </row>
    <row r="10" spans="1:24" s="1" customFormat="1" ht="15.75" thickBot="1" x14ac:dyDescent="0.3">
      <c r="A10"/>
      <c r="B10" s="105" t="s">
        <v>105</v>
      </c>
      <c r="C10" s="221" t="s">
        <v>77</v>
      </c>
      <c r="D10" s="222"/>
      <c r="E10" s="223"/>
      <c r="F10" s="105" t="s">
        <v>78</v>
      </c>
      <c r="G10" s="105" t="s">
        <v>79</v>
      </c>
      <c r="H10" s="105" t="s">
        <v>80</v>
      </c>
      <c r="I10" s="221" t="s">
        <v>81</v>
      </c>
      <c r="J10" s="223"/>
      <c r="K10"/>
      <c r="L10" s="218"/>
      <c r="M10" s="219"/>
      <c r="N10" s="219"/>
      <c r="O10" s="219"/>
      <c r="P10" s="219"/>
      <c r="Q10" s="220"/>
    </row>
    <row r="11" spans="1:24" s="1" customFormat="1" x14ac:dyDescent="0.25">
      <c r="A11"/>
      <c r="B11" s="101">
        <v>2000</v>
      </c>
      <c r="C11" s="204" t="str">
        <f>IF(B11&lt;&gt;"",VLOOKUP(B11,PRODUTOS_PEDIDOS!$B$10:$E$36,2,FALSE),"")</f>
        <v>Mouse Óptico sem fio Microsoft</v>
      </c>
      <c r="D11" s="205"/>
      <c r="E11" s="206"/>
      <c r="F11" s="97" t="str">
        <f>IF(B11&lt;&gt;"",VLOOKUP(B11,PRODUTOS_PEDIDOS!$B$10:$E$36,4,FALSE),"")</f>
        <v>Informática</v>
      </c>
      <c r="G11" s="99">
        <v>1</v>
      </c>
      <c r="H11" s="98">
        <f>IF(B11&lt;&gt;"",VLOOKUP(B11,PRODUTOS_PEDIDOS!$B$10:$E$36,3,FALSE),"")</f>
        <v>65</v>
      </c>
      <c r="I11" s="185">
        <f>IF(OR(G11="",H11=""),"",PRODUCT(G11:H11))</f>
        <v>65</v>
      </c>
      <c r="J11" s="186"/>
      <c r="K11"/>
      <c r="L11" s="199" t="s">
        <v>82</v>
      </c>
      <c r="M11" s="200"/>
      <c r="N11" s="200"/>
      <c r="O11" s="201"/>
      <c r="P11" s="202">
        <f>SMALL(H11:H19,2)</f>
        <v>12</v>
      </c>
      <c r="Q11" s="203"/>
    </row>
    <row r="12" spans="1:24" s="1" customFormat="1" x14ac:dyDescent="0.25">
      <c r="A12"/>
      <c r="B12" s="101">
        <v>2001</v>
      </c>
      <c r="C12" s="182" t="str">
        <f>IF(B12="","",VLOOKUP(B12,PRODUTOS_PEDIDOS!$B$10:$E$36,2,FALSE))</f>
        <v>Impressora Multi HP</v>
      </c>
      <c r="D12" s="183"/>
      <c r="E12" s="184"/>
      <c r="F12" s="97" t="str">
        <f>IF(B12&lt;&gt;"",VLOOKUP(B12,PRODUTOS_PEDIDOS!$B$10:$E$36,4,FALSE),"")</f>
        <v>Informática</v>
      </c>
      <c r="G12" s="99">
        <v>2</v>
      </c>
      <c r="H12" s="98">
        <f>IF(B12&lt;&gt;"",VLOOKUP(B12,PRODUTOS_PEDIDOS!$B$10:$E$36,3,FALSE),"")</f>
        <v>399</v>
      </c>
      <c r="I12" s="185">
        <f t="shared" ref="I12:I19" si="0">IF(OR(G12="",H12=""),"",PRODUCT(G12:H12))</f>
        <v>798</v>
      </c>
      <c r="J12" s="186"/>
      <c r="K12"/>
      <c r="L12" s="194" t="s">
        <v>83</v>
      </c>
      <c r="M12" s="195"/>
      <c r="N12" s="195"/>
      <c r="O12" s="196"/>
      <c r="P12" s="197">
        <f>LARGE(H11:H19,4)</f>
        <v>550</v>
      </c>
      <c r="Q12" s="198"/>
    </row>
    <row r="13" spans="1:24" s="1" customFormat="1" x14ac:dyDescent="0.25">
      <c r="A13"/>
      <c r="B13" s="101">
        <v>2007</v>
      </c>
      <c r="C13" s="182" t="str">
        <f>IF(B13="","",VLOOKUP(B13,PRODUTOS_PEDIDOS!$B$10:$E$36,2,FALSE))</f>
        <v>Notebook Sony Vaio</v>
      </c>
      <c r="D13" s="183"/>
      <c r="E13" s="184"/>
      <c r="F13" s="97" t="str">
        <f>IF(B13&lt;&gt;"",VLOOKUP(B13,PRODUTOS_PEDIDOS!$B$10:$E$36,4,FALSE),"")</f>
        <v>Informática</v>
      </c>
      <c r="G13" s="99">
        <v>3</v>
      </c>
      <c r="H13" s="98">
        <f>IF(B13&lt;&gt;"",VLOOKUP(B13,PRODUTOS_PEDIDOS!$B$10:$E$36,3,FALSE),"")</f>
        <v>3120</v>
      </c>
      <c r="I13" s="185">
        <f t="shared" si="0"/>
        <v>9360</v>
      </c>
      <c r="J13" s="186"/>
      <c r="K13"/>
      <c r="L13" s="194" t="s">
        <v>84</v>
      </c>
      <c r="M13" s="195"/>
      <c r="N13" s="195"/>
      <c r="O13" s="196"/>
      <c r="P13" s="197">
        <f>AVERAGE(I11:J19)</f>
        <v>2551.8888888888887</v>
      </c>
      <c r="Q13" s="198"/>
    </row>
    <row r="14" spans="1:24" s="1" customFormat="1" x14ac:dyDescent="0.25">
      <c r="A14"/>
      <c r="B14" s="101">
        <v>2013</v>
      </c>
      <c r="C14" s="182" t="str">
        <f>IF(B14="","",VLOOKUP(B14,PRODUTOS_PEDIDOS!$B$10:$E$36,2,FALSE))</f>
        <v xml:space="preserve">TIMChip Infinity Pré - 128KB </v>
      </c>
      <c r="D14" s="183"/>
      <c r="E14" s="184"/>
      <c r="F14" s="97" t="str">
        <f>IF(B14&lt;&gt;"",VLOOKUP(B14,PRODUTOS_PEDIDOS!$B$10:$E$36,4,FALSE),"")</f>
        <v>Telefonia</v>
      </c>
      <c r="G14" s="99">
        <v>4</v>
      </c>
      <c r="H14" s="98">
        <f>IF(B14&lt;&gt;"",VLOOKUP(B14,PRODUTOS_PEDIDOS!$B$10:$E$36,3,FALSE),"")</f>
        <v>12</v>
      </c>
      <c r="I14" s="185">
        <f t="shared" si="0"/>
        <v>48</v>
      </c>
      <c r="J14" s="186"/>
      <c r="K14"/>
      <c r="L14" s="194" t="s">
        <v>85</v>
      </c>
      <c r="M14" s="195"/>
      <c r="N14" s="195"/>
      <c r="O14" s="196"/>
      <c r="P14" s="197">
        <f>SUMIF(F11:F19,"Informática",H11:H19)</f>
        <v>4254</v>
      </c>
      <c r="Q14" s="198"/>
    </row>
    <row r="15" spans="1:24" s="1" customFormat="1" x14ac:dyDescent="0.25">
      <c r="A15"/>
      <c r="B15" s="101">
        <v>2003</v>
      </c>
      <c r="C15" s="182" t="str">
        <f>IF(B15="","",VLOOKUP(B15,PRODUTOS_PEDIDOS!$B$10:$E$36,2,FALSE))</f>
        <v>Monitor LCD 19'' AOC</v>
      </c>
      <c r="D15" s="183"/>
      <c r="E15" s="184"/>
      <c r="F15" s="97" t="str">
        <f>IF(B15&lt;&gt;"",VLOOKUP(B15,PRODUTOS_PEDIDOS!$B$10:$E$36,4,FALSE),"")</f>
        <v>Informática</v>
      </c>
      <c r="G15" s="99">
        <v>5</v>
      </c>
      <c r="H15" s="98">
        <f>IF(B15&lt;&gt;"",VLOOKUP(B15,PRODUTOS_PEDIDOS!$B$10:$E$36,3,FALSE),"")</f>
        <v>550</v>
      </c>
      <c r="I15" s="185">
        <f t="shared" si="0"/>
        <v>2750</v>
      </c>
      <c r="J15" s="186"/>
      <c r="K15"/>
      <c r="L15" s="194" t="s">
        <v>86</v>
      </c>
      <c r="M15" s="195"/>
      <c r="N15" s="195"/>
      <c r="O15" s="196"/>
      <c r="P15" s="197">
        <f>SUMIF(F11:F19,"Telefonia",H11:H19)</f>
        <v>682</v>
      </c>
      <c r="Q15" s="198"/>
    </row>
    <row r="16" spans="1:24" s="1" customFormat="1" x14ac:dyDescent="0.25">
      <c r="A16"/>
      <c r="B16" s="101">
        <v>2024</v>
      </c>
      <c r="C16" s="182" t="str">
        <f>IF(B16="","",VLOOKUP(B16,PRODUTOS_PEDIDOS!$B$10:$E$36,2,FALSE))</f>
        <v>Motorola EX115 Preto - GSM</v>
      </c>
      <c r="D16" s="183"/>
      <c r="E16" s="184"/>
      <c r="F16" s="97" t="str">
        <f>IF(B16&lt;&gt;"",VLOOKUP(B16,PRODUTOS_PEDIDOS!$B$10:$E$36,4,FALSE),"")</f>
        <v>Telefonia</v>
      </c>
      <c r="G16" s="99">
        <v>6</v>
      </c>
      <c r="H16" s="98">
        <f>IF(B16&lt;&gt;"",VLOOKUP(B16,PRODUTOS_PEDIDOS!$B$10:$E$36,3,FALSE),"")</f>
        <v>660</v>
      </c>
      <c r="I16" s="185">
        <f t="shared" si="0"/>
        <v>3960</v>
      </c>
      <c r="J16" s="186"/>
      <c r="K16"/>
      <c r="L16" s="194" t="s">
        <v>87</v>
      </c>
      <c r="M16" s="195"/>
      <c r="N16" s="195"/>
      <c r="O16" s="196"/>
      <c r="P16" s="197">
        <f>SUMIF(F11:F19,"Eletrônicos",H11:H19)</f>
        <v>632</v>
      </c>
      <c r="Q16" s="198"/>
    </row>
    <row r="17" spans="1:17" s="1" customFormat="1" x14ac:dyDescent="0.25">
      <c r="A17"/>
      <c r="B17" s="101">
        <v>2009</v>
      </c>
      <c r="C17" s="182" t="str">
        <f>IF(B17="","",VLOOKUP(B17,PRODUTOS_PEDIDOS!$B$10:$E$36,2,FALSE))</f>
        <v>Roteador Wireless</v>
      </c>
      <c r="D17" s="183"/>
      <c r="E17" s="184"/>
      <c r="F17" s="97" t="str">
        <f>IF(B17&lt;&gt;"",VLOOKUP(B17,PRODUTOS_PEDIDOS!$B$10:$E$36,4,FALSE),"")</f>
        <v>Informática</v>
      </c>
      <c r="G17" s="99">
        <v>7</v>
      </c>
      <c r="H17" s="98">
        <f>IF(B17&lt;&gt;"",VLOOKUP(B17,PRODUTOS_PEDIDOS!$B$10:$E$36,3,FALSE),"")</f>
        <v>120</v>
      </c>
      <c r="I17" s="185">
        <f t="shared" si="0"/>
        <v>840</v>
      </c>
      <c r="J17" s="186"/>
      <c r="K17"/>
      <c r="L17" s="194" t="s">
        <v>88</v>
      </c>
      <c r="M17" s="195"/>
      <c r="N17" s="195"/>
      <c r="O17" s="196"/>
      <c r="P17" s="192">
        <f>COUNTIF(F11:F19,"Informática")</f>
        <v>5</v>
      </c>
      <c r="Q17" s="193"/>
    </row>
    <row r="18" spans="1:17" s="1" customFormat="1" x14ac:dyDescent="0.25">
      <c r="A18"/>
      <c r="B18" s="101">
        <v>2015</v>
      </c>
      <c r="C18" s="182" t="str">
        <f>IF(B18="","",VLOOKUP(B18,PRODUTOS_PEDIDOS!$B$10:$E$36,2,FALSE))</f>
        <v>Blu-Ray e DVD Player  - Sony</v>
      </c>
      <c r="D18" s="183"/>
      <c r="E18" s="184"/>
      <c r="F18" s="97" t="str">
        <f>IF(B18&lt;&gt;"",VLOOKUP(B18,PRODUTOS_PEDIDOS!$B$10:$E$36,4,FALSE),"")</f>
        <v>Eletrônicos</v>
      </c>
      <c r="G18" s="99">
        <v>8</v>
      </c>
      <c r="H18" s="98">
        <f>IF(B18&lt;&gt;"",VLOOKUP(B18,PRODUTOS_PEDIDOS!$B$10:$E$36,3,FALSE),"")</f>
        <v>632</v>
      </c>
      <c r="I18" s="185">
        <f t="shared" si="0"/>
        <v>5056</v>
      </c>
      <c r="J18" s="186"/>
      <c r="K18"/>
      <c r="L18" s="194" t="s">
        <v>89</v>
      </c>
      <c r="M18" s="195"/>
      <c r="N18" s="195"/>
      <c r="O18" s="196"/>
      <c r="P18" s="192">
        <f>COUNTIF(F11:F19,"Telefonia")</f>
        <v>3</v>
      </c>
      <c r="Q18" s="193"/>
    </row>
    <row r="19" spans="1:17" s="1" customFormat="1" ht="15.75" thickBot="1" x14ac:dyDescent="0.3">
      <c r="A19"/>
      <c r="B19" s="101">
        <v>2021</v>
      </c>
      <c r="C19" s="182" t="str">
        <f>IF(B19="","",VLOOKUP(B19,PRODUTOS_PEDIDOS!$B$10:$E$36,2,FALSE))</f>
        <v>Chip Claro 128K Pré-Pago - DDD11</v>
      </c>
      <c r="D19" s="183"/>
      <c r="E19" s="184"/>
      <c r="F19" s="97" t="str">
        <f>IF(B19&lt;&gt;"",VLOOKUP(B19,PRODUTOS_PEDIDOS!$B$10:$E$36,4,FALSE),"")</f>
        <v>Telefonia</v>
      </c>
      <c r="G19" s="99">
        <v>9</v>
      </c>
      <c r="H19" s="98">
        <f>IF(B19&lt;&gt;"",VLOOKUP(B19,PRODUTOS_PEDIDOS!$B$10:$E$36,3,FALSE),"")</f>
        <v>10</v>
      </c>
      <c r="I19" s="185">
        <f t="shared" si="0"/>
        <v>90</v>
      </c>
      <c r="J19" s="186"/>
      <c r="K19"/>
      <c r="L19" s="187" t="s">
        <v>90</v>
      </c>
      <c r="M19" s="188"/>
      <c r="N19" s="188"/>
      <c r="O19" s="189"/>
      <c r="P19" s="158">
        <f>COUNTIF(F11:F19,"Eletrônicos")</f>
        <v>1</v>
      </c>
      <c r="Q19" s="159"/>
    </row>
    <row r="20" spans="1:17" s="1" customFormat="1" ht="15.75" thickBot="1" x14ac:dyDescent="0.3">
      <c r="A20"/>
      <c r="B20" s="84"/>
      <c r="C20" s="84"/>
      <c r="D20" s="84"/>
      <c r="E20" s="84"/>
      <c r="F20" s="84"/>
      <c r="G20" s="84"/>
      <c r="H20" s="100" t="str">
        <f>IF(F20="","",VLOOKUP(B20,#REF!,3))</f>
        <v/>
      </c>
      <c r="I20" s="84"/>
      <c r="J20" s="84"/>
      <c r="K20"/>
      <c r="L20"/>
      <c r="M20"/>
      <c r="N20"/>
      <c r="O20"/>
      <c r="P20"/>
      <c r="Q20"/>
    </row>
    <row r="21" spans="1:17" s="1" customFormat="1" ht="15.75" thickBot="1" x14ac:dyDescent="0.3">
      <c r="A21"/>
      <c r="B21" s="160"/>
      <c r="C21" s="160"/>
      <c r="D21" s="160"/>
      <c r="F21" s="106" t="s">
        <v>91</v>
      </c>
      <c r="G21" s="107"/>
      <c r="H21" s="161">
        <f>SUM(I11:J19)</f>
        <v>22967</v>
      </c>
      <c r="I21" s="162"/>
      <c r="J21" s="163"/>
      <c r="K21"/>
      <c r="L21" s="164" t="s">
        <v>92</v>
      </c>
      <c r="M21" s="165"/>
      <c r="N21" s="165"/>
      <c r="O21" s="166"/>
      <c r="P21"/>
      <c r="Q21"/>
    </row>
    <row r="22" spans="1:17" s="1" customFormat="1" x14ac:dyDescent="0.25">
      <c r="A22"/>
      <c r="B22" s="160"/>
      <c r="C22" s="160"/>
      <c r="D22" s="160"/>
      <c r="F22" s="108" t="s">
        <v>93</v>
      </c>
      <c r="G22" s="109"/>
      <c r="H22" s="167"/>
      <c r="I22" s="168"/>
      <c r="J22" s="169"/>
      <c r="K22"/>
      <c r="L22" s="89" t="s">
        <v>94</v>
      </c>
      <c r="M22" s="90"/>
      <c r="N22" s="170" t="s">
        <v>95</v>
      </c>
      <c r="O22" s="171"/>
      <c r="P22"/>
      <c r="Q22"/>
    </row>
    <row r="23" spans="1:17" s="1" customFormat="1" x14ac:dyDescent="0.25">
      <c r="A23"/>
      <c r="B23" s="160"/>
      <c r="C23" s="160"/>
      <c r="D23" s="160"/>
      <c r="F23" s="108" t="s">
        <v>96</v>
      </c>
      <c r="G23" s="109"/>
      <c r="H23" s="172" t="str">
        <f>IF(A1=1,H21*0.2,IF(A1=4,H21*0.05,"Sem Desconto"))</f>
        <v>Sem Desconto</v>
      </c>
      <c r="I23" s="173"/>
      <c r="J23" s="174"/>
      <c r="K23"/>
      <c r="L23" s="91" t="s">
        <v>97</v>
      </c>
      <c r="M23" s="92"/>
      <c r="N23" s="190" t="s">
        <v>98</v>
      </c>
      <c r="O23" s="191"/>
      <c r="P23"/>
      <c r="Q23"/>
    </row>
    <row r="24" spans="1:17" s="1" customFormat="1" x14ac:dyDescent="0.25">
      <c r="A24"/>
      <c r="B24" s="160"/>
      <c r="C24" s="160"/>
      <c r="D24" s="160"/>
      <c r="F24" s="108" t="s">
        <v>99</v>
      </c>
      <c r="G24" s="109"/>
      <c r="H24" s="172" t="str">
        <f>IF(A1=3,(H21/3)*1.0969,"Não aplica")</f>
        <v>Não aplica</v>
      </c>
      <c r="I24" s="173"/>
      <c r="J24" s="174"/>
      <c r="K24"/>
      <c r="L24" s="91" t="s">
        <v>100</v>
      </c>
      <c r="M24" s="92"/>
      <c r="N24" s="190" t="s">
        <v>101</v>
      </c>
      <c r="O24" s="191"/>
      <c r="P24"/>
      <c r="Q24"/>
    </row>
    <row r="25" spans="1:17" s="1" customFormat="1" ht="15.75" thickBot="1" x14ac:dyDescent="0.3">
      <c r="A25"/>
      <c r="B25" s="160"/>
      <c r="C25" s="160"/>
      <c r="D25" s="160"/>
      <c r="F25" s="110" t="s">
        <v>102</v>
      </c>
      <c r="G25" s="111"/>
      <c r="H25" s="175">
        <f>IF(OR(A1=1,A1=4),H21-H23,IF(A1=2,H21*1.0475,H24*3))</f>
        <v>24057.932500000003</v>
      </c>
      <c r="I25" s="176"/>
      <c r="J25" s="177"/>
      <c r="K25"/>
      <c r="L25" s="178" t="s">
        <v>103</v>
      </c>
      <c r="M25" s="179"/>
      <c r="N25" s="180" t="s">
        <v>104</v>
      </c>
      <c r="O25" s="181"/>
      <c r="P25"/>
      <c r="Q25"/>
    </row>
    <row r="26" spans="1:17" s="1" customFormat="1" x14ac:dyDescent="0.25">
      <c r="B26" s="85"/>
      <c r="C26" s="86"/>
      <c r="D26" s="87"/>
    </row>
    <row r="27" spans="1:17" s="1" customFormat="1" x14ac:dyDescent="0.25">
      <c r="B27" s="85"/>
      <c r="C27" s="86"/>
      <c r="D27" s="87"/>
    </row>
    <row r="28" spans="1:17" s="1" customFormat="1" x14ac:dyDescent="0.25">
      <c r="B28" s="85"/>
      <c r="C28" s="86"/>
      <c r="D28" s="87"/>
    </row>
    <row r="29" spans="1:17" s="1" customFormat="1" x14ac:dyDescent="0.25">
      <c r="B29" s="85"/>
      <c r="C29" s="86"/>
      <c r="D29" s="87"/>
    </row>
    <row r="30" spans="1:17" s="1" customFormat="1" x14ac:dyDescent="0.25">
      <c r="B30" s="85"/>
      <c r="C30" s="86"/>
      <c r="D30" s="87"/>
    </row>
    <row r="31" spans="1:17" ht="15.75" customHeight="1" x14ac:dyDescent="0.25">
      <c r="B31" s="85"/>
      <c r="C31" s="86"/>
      <c r="D31" s="87"/>
    </row>
    <row r="32" spans="1:17" x14ac:dyDescent="0.25">
      <c r="B32" s="85"/>
      <c r="C32" s="86"/>
      <c r="D32" s="88"/>
      <c r="G32" s="1" t="s">
        <v>149</v>
      </c>
    </row>
    <row r="33" spans="2:4" x14ac:dyDescent="0.25">
      <c r="B33" s="85"/>
      <c r="C33" s="86"/>
      <c r="D33" s="87"/>
    </row>
    <row r="34" spans="2:4" x14ac:dyDescent="0.25">
      <c r="B34" s="85"/>
      <c r="C34" s="86"/>
      <c r="D34" s="87"/>
    </row>
    <row r="35" spans="2:4" x14ac:dyDescent="0.25">
      <c r="B35" s="85"/>
      <c r="C35" s="86"/>
      <c r="D35" s="87"/>
    </row>
    <row r="36" spans="2:4" x14ac:dyDescent="0.25">
      <c r="B36" s="85"/>
      <c r="C36" s="86"/>
      <c r="D36" s="87"/>
    </row>
    <row r="37" spans="2:4" x14ac:dyDescent="0.25">
      <c r="B37" s="85"/>
      <c r="C37" s="86"/>
      <c r="D37" s="87"/>
    </row>
    <row r="38" spans="2:4" x14ac:dyDescent="0.25">
      <c r="B38" s="85"/>
      <c r="C38" s="86"/>
      <c r="D38" s="87"/>
    </row>
    <row r="39" spans="2:4" x14ac:dyDescent="0.25">
      <c r="B39" s="85"/>
      <c r="C39" s="86"/>
      <c r="D39" s="87"/>
    </row>
    <row r="40" spans="2:4" x14ac:dyDescent="0.25">
      <c r="B40" s="85"/>
      <c r="C40" s="86"/>
      <c r="D40" s="87"/>
    </row>
    <row r="41" spans="2:4" x14ac:dyDescent="0.25">
      <c r="B41" s="85"/>
      <c r="C41" s="86"/>
      <c r="D41" s="87"/>
    </row>
    <row r="42" spans="2:4" x14ac:dyDescent="0.25">
      <c r="B42" s="85"/>
      <c r="C42" s="86"/>
      <c r="D42" s="87"/>
    </row>
    <row r="43" spans="2:4" x14ac:dyDescent="0.25">
      <c r="B43" s="85"/>
      <c r="C43" s="86"/>
      <c r="D43" s="87"/>
    </row>
    <row r="44" spans="2:4" x14ac:dyDescent="0.25">
      <c r="B44" s="85"/>
      <c r="C44" s="86"/>
      <c r="D44" s="87"/>
    </row>
    <row r="45" spans="2:4" x14ac:dyDescent="0.25">
      <c r="B45" s="85"/>
      <c r="C45" s="86"/>
      <c r="D45" s="87"/>
    </row>
    <row r="46" spans="2:4" x14ac:dyDescent="0.25">
      <c r="B46" s="85"/>
      <c r="C46" s="86"/>
      <c r="D46" s="87"/>
    </row>
    <row r="47" spans="2:4" x14ac:dyDescent="0.25">
      <c r="B47" s="85"/>
      <c r="C47" s="86"/>
      <c r="D47" s="87"/>
    </row>
    <row r="48" spans="2:4" x14ac:dyDescent="0.25">
      <c r="B48" s="85"/>
      <c r="C48" s="86"/>
      <c r="D48" s="87"/>
    </row>
    <row r="49" spans="2:4" x14ac:dyDescent="0.25">
      <c r="B49" s="85"/>
      <c r="C49" s="86"/>
      <c r="D49" s="87"/>
    </row>
    <row r="50" spans="2:4" x14ac:dyDescent="0.25">
      <c r="B50" s="85"/>
      <c r="C50" s="86"/>
      <c r="D50" s="87"/>
    </row>
    <row r="51" spans="2:4" x14ac:dyDescent="0.25">
      <c r="B51" s="85"/>
      <c r="C51" s="86"/>
      <c r="D51" s="87"/>
    </row>
    <row r="52" spans="2:4" x14ac:dyDescent="0.25">
      <c r="B52" s="85"/>
      <c r="C52" s="86"/>
      <c r="D52" s="87"/>
    </row>
    <row r="53" spans="2:4" x14ac:dyDescent="0.25">
      <c r="B53" s="85"/>
      <c r="C53" s="86"/>
      <c r="D53" s="87"/>
    </row>
    <row r="54" spans="2:4" x14ac:dyDescent="0.25">
      <c r="B54" s="85"/>
      <c r="C54" s="86"/>
      <c r="D54" s="87"/>
    </row>
    <row r="55" spans="2:4" x14ac:dyDescent="0.25">
      <c r="B55" s="85"/>
      <c r="C55" s="86"/>
      <c r="D55" s="87"/>
    </row>
    <row r="56" spans="2:4" x14ac:dyDescent="0.25">
      <c r="B56" s="85"/>
      <c r="C56" s="86"/>
      <c r="D56" s="87"/>
    </row>
    <row r="57" spans="2:4" x14ac:dyDescent="0.25">
      <c r="B57" s="85"/>
      <c r="C57" s="86"/>
      <c r="D57" s="87"/>
    </row>
    <row r="58" spans="2:4" x14ac:dyDescent="0.25">
      <c r="B58" s="85"/>
      <c r="C58" s="86"/>
      <c r="D58" s="87"/>
    </row>
    <row r="59" spans="2:4" x14ac:dyDescent="0.25">
      <c r="B59" s="85"/>
      <c r="C59" s="86"/>
      <c r="D59" s="87"/>
    </row>
    <row r="60" spans="2:4" x14ac:dyDescent="0.25">
      <c r="B60" s="85"/>
      <c r="C60" s="86"/>
      <c r="D60" s="87"/>
    </row>
    <row r="61" spans="2:4" x14ac:dyDescent="0.25">
      <c r="B61" s="85"/>
      <c r="C61" s="86"/>
      <c r="D61" s="87"/>
    </row>
    <row r="62" spans="2:4" x14ac:dyDescent="0.25">
      <c r="B62" s="85"/>
      <c r="C62" s="86"/>
      <c r="D62" s="87"/>
    </row>
    <row r="63" spans="2:4" x14ac:dyDescent="0.25">
      <c r="B63" s="85"/>
      <c r="C63" s="86"/>
      <c r="D63" s="87"/>
    </row>
    <row r="64" spans="2:4" x14ac:dyDescent="0.25">
      <c r="B64" s="85"/>
      <c r="C64" s="86"/>
      <c r="D64" s="87"/>
    </row>
    <row r="65" spans="2:4" x14ac:dyDescent="0.25">
      <c r="B65" s="85"/>
      <c r="C65" s="86"/>
      <c r="D65" s="87"/>
    </row>
    <row r="66" spans="2:4" x14ac:dyDescent="0.25">
      <c r="B66" s="85"/>
      <c r="C66" s="86"/>
      <c r="D66" s="87"/>
    </row>
    <row r="67" spans="2:4" x14ac:dyDescent="0.25">
      <c r="B67" s="85"/>
      <c r="C67" s="86"/>
      <c r="D67" s="87"/>
    </row>
    <row r="68" spans="2:4" x14ac:dyDescent="0.25">
      <c r="B68" s="85"/>
      <c r="C68" s="86"/>
      <c r="D68" s="87"/>
    </row>
    <row r="69" spans="2:4" x14ac:dyDescent="0.25">
      <c r="B69" s="85"/>
      <c r="C69" s="86"/>
      <c r="D69" s="87"/>
    </row>
    <row r="70" spans="2:4" x14ac:dyDescent="0.25">
      <c r="B70" s="85"/>
      <c r="C70" s="86"/>
      <c r="D70" s="87"/>
    </row>
    <row r="71" spans="2:4" x14ac:dyDescent="0.25">
      <c r="B71" s="85"/>
      <c r="C71" s="86"/>
      <c r="D71" s="87"/>
    </row>
    <row r="72" spans="2:4" x14ac:dyDescent="0.25">
      <c r="B72" s="85"/>
      <c r="C72" s="86"/>
      <c r="D72" s="87"/>
    </row>
    <row r="73" spans="2:4" x14ac:dyDescent="0.25">
      <c r="B73" s="85"/>
      <c r="C73" s="86"/>
      <c r="D73" s="87"/>
    </row>
    <row r="74" spans="2:4" x14ac:dyDescent="0.25">
      <c r="B74" s="85"/>
      <c r="C74" s="86"/>
      <c r="D74" s="88"/>
    </row>
    <row r="75" spans="2:4" x14ac:dyDescent="0.25">
      <c r="B75" s="85"/>
      <c r="C75" s="86"/>
      <c r="D75" s="88"/>
    </row>
    <row r="76" spans="2:4" x14ac:dyDescent="0.25">
      <c r="B76" s="85"/>
      <c r="C76" s="86"/>
      <c r="D76" s="87"/>
    </row>
    <row r="77" spans="2:4" x14ac:dyDescent="0.25">
      <c r="B77" s="85"/>
      <c r="C77" s="86"/>
      <c r="D77" s="87"/>
    </row>
    <row r="78" spans="2:4" x14ac:dyDescent="0.25">
      <c r="B78" s="85"/>
      <c r="C78" s="86"/>
      <c r="D78" s="87"/>
    </row>
    <row r="79" spans="2:4" x14ac:dyDescent="0.25">
      <c r="B79" s="85"/>
      <c r="C79" s="86"/>
      <c r="D79" s="87"/>
    </row>
    <row r="80" spans="2:4" x14ac:dyDescent="0.25">
      <c r="B80" s="85"/>
      <c r="C80" s="86"/>
      <c r="D80" s="87"/>
    </row>
    <row r="81" spans="1:28" x14ac:dyDescent="0.25">
      <c r="B81" s="85"/>
      <c r="C81" s="86"/>
      <c r="D81" s="87"/>
    </row>
    <row r="82" spans="1:28" x14ac:dyDescent="0.25">
      <c r="B82" s="85"/>
      <c r="C82" s="86"/>
      <c r="D82" s="87"/>
    </row>
    <row r="83" spans="1:28" x14ac:dyDescent="0.25">
      <c r="B83" s="85"/>
      <c r="C83" s="86"/>
      <c r="D83" s="87"/>
    </row>
    <row r="84" spans="1:28" x14ac:dyDescent="0.25">
      <c r="B84" s="85"/>
      <c r="C84" s="86"/>
      <c r="D84" s="87"/>
    </row>
    <row r="85" spans="1:28" x14ac:dyDescent="0.25">
      <c r="B85" s="85"/>
      <c r="C85" s="86"/>
      <c r="D85" s="87"/>
    </row>
    <row r="86" spans="1:28" x14ac:dyDescent="0.25">
      <c r="B86" s="85"/>
      <c r="C86" s="86"/>
      <c r="D86" s="87"/>
    </row>
    <row r="87" spans="1:28" x14ac:dyDescent="0.25">
      <c r="B87" s="85"/>
      <c r="C87" s="86"/>
      <c r="D87" s="88"/>
    </row>
    <row r="88" spans="1:28" x14ac:dyDescent="0.25">
      <c r="B88" s="85"/>
      <c r="C88" s="86"/>
      <c r="D88" s="88"/>
    </row>
    <row r="89" spans="1:28" s="1" customFormat="1" x14ac:dyDescent="0.25">
      <c r="A89"/>
      <c r="B89" s="85"/>
      <c r="C89" s="86"/>
      <c r="D89" s="88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8" s="1" customFormat="1" x14ac:dyDescent="0.25">
      <c r="A90"/>
      <c r="B90" s="85"/>
      <c r="C90" s="86"/>
      <c r="D90" s="87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8" s="1" customFormat="1" x14ac:dyDescent="0.25">
      <c r="A91"/>
      <c r="B91" s="85"/>
      <c r="C91" s="86"/>
      <c r="D91" s="87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8" s="1" customFormat="1" x14ac:dyDescent="0.25">
      <c r="A92"/>
      <c r="B92" s="85"/>
      <c r="C92" s="86"/>
      <c r="D92" s="87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Z92" s="24" t="s">
        <v>23</v>
      </c>
      <c r="AA92"/>
      <c r="AB92"/>
    </row>
    <row r="93" spans="1:28" s="1" customFormat="1" x14ac:dyDescent="0.25">
      <c r="A93"/>
      <c r="B93" s="85"/>
      <c r="C93" s="86"/>
      <c r="D93" s="87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Z93" s="24" t="s">
        <v>22</v>
      </c>
      <c r="AA93"/>
      <c r="AB93"/>
    </row>
    <row r="94" spans="1:28" s="1" customFormat="1" x14ac:dyDescent="0.25">
      <c r="A94"/>
      <c r="B94" s="85"/>
      <c r="C94" s="86"/>
      <c r="D94" s="87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8" s="1" customFormat="1" x14ac:dyDescent="0.25">
      <c r="A95"/>
      <c r="B95" s="85"/>
      <c r="C95" s="86"/>
      <c r="D95" s="87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8" s="1" customFormat="1" x14ac:dyDescent="0.25">
      <c r="A96"/>
      <c r="B96" s="85"/>
      <c r="C96" s="86"/>
      <c r="D96" s="87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s="1" customFormat="1" x14ac:dyDescent="0.25">
      <c r="A97"/>
      <c r="B97" s="85"/>
      <c r="C97" s="86"/>
      <c r="D97" s="8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s="1" customFormat="1" x14ac:dyDescent="0.25">
      <c r="A98"/>
      <c r="B98" s="85"/>
      <c r="C98" s="86"/>
      <c r="D98" s="87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s="1" customFormat="1" x14ac:dyDescent="0.25">
      <c r="A99"/>
      <c r="B99" s="85"/>
      <c r="C99" s="86"/>
      <c r="D99" s="87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s="1" customFormat="1" x14ac:dyDescent="0.25">
      <c r="A100"/>
      <c r="B100" s="85"/>
      <c r="C100" s="86"/>
      <c r="D100" s="87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s="1" customFormat="1" x14ac:dyDescent="0.25">
      <c r="A101"/>
      <c r="B101" s="85"/>
      <c r="C101" s="86"/>
      <c r="D101" s="87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s="1" customFormat="1" x14ac:dyDescent="0.25">
      <c r="A102"/>
      <c r="B102" s="85"/>
      <c r="C102" s="86"/>
      <c r="D102" s="87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s="1" customFormat="1" x14ac:dyDescent="0.25">
      <c r="A103"/>
      <c r="B103" s="85"/>
      <c r="C103" s="86"/>
      <c r="D103" s="87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s="1" customFormat="1" x14ac:dyDescent="0.25">
      <c r="A104"/>
      <c r="B104" s="85"/>
      <c r="C104" s="86"/>
      <c r="D104" s="87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B105" s="85"/>
      <c r="C105" s="86"/>
      <c r="D105" s="87"/>
    </row>
    <row r="106" spans="1:24" x14ac:dyDescent="0.25">
      <c r="B106" s="85"/>
      <c r="C106" s="86"/>
      <c r="D106" s="87"/>
    </row>
    <row r="107" spans="1:24" x14ac:dyDescent="0.25">
      <c r="B107" s="85"/>
      <c r="C107" s="86"/>
      <c r="D107" s="87"/>
    </row>
    <row r="108" spans="1:24" x14ac:dyDescent="0.25">
      <c r="B108" s="85"/>
      <c r="C108" s="86"/>
      <c r="D108" s="87"/>
    </row>
    <row r="109" spans="1:24" x14ac:dyDescent="0.25">
      <c r="B109" s="85"/>
      <c r="C109" s="86"/>
      <c r="D109" s="88"/>
    </row>
    <row r="110" spans="1:24" x14ac:dyDescent="0.25">
      <c r="B110" s="85"/>
      <c r="C110" s="86"/>
      <c r="D110" s="87"/>
    </row>
    <row r="111" spans="1:24" x14ac:dyDescent="0.25">
      <c r="B111" s="85"/>
      <c r="C111" s="86"/>
      <c r="D111" s="87"/>
    </row>
    <row r="112" spans="1:24" x14ac:dyDescent="0.25">
      <c r="B112" s="85"/>
      <c r="C112" s="86"/>
      <c r="D112" s="87"/>
    </row>
    <row r="113" spans="2:4" x14ac:dyDescent="0.25">
      <c r="B113" s="85"/>
      <c r="C113" s="86"/>
      <c r="D113" s="87"/>
    </row>
    <row r="114" spans="2:4" x14ac:dyDescent="0.25">
      <c r="B114" s="85"/>
      <c r="C114" s="86"/>
      <c r="D114" s="87"/>
    </row>
    <row r="115" spans="2:4" x14ac:dyDescent="0.25">
      <c r="B115" s="85"/>
      <c r="C115" s="86"/>
      <c r="D115" s="87"/>
    </row>
    <row r="116" spans="2:4" x14ac:dyDescent="0.25">
      <c r="B116" s="85"/>
      <c r="C116" s="86"/>
      <c r="D116" s="87"/>
    </row>
    <row r="117" spans="2:4" x14ac:dyDescent="0.25">
      <c r="B117" s="85"/>
      <c r="C117" s="86"/>
      <c r="D117" s="87"/>
    </row>
  </sheetData>
  <mergeCells count="60">
    <mergeCell ref="F2:K2"/>
    <mergeCell ref="D6:E6"/>
    <mergeCell ref="F6:G6"/>
    <mergeCell ref="B9:J9"/>
    <mergeCell ref="L9:Q10"/>
    <mergeCell ref="C10:E10"/>
    <mergeCell ref="I10:J10"/>
    <mergeCell ref="B8:D8"/>
    <mergeCell ref="F8:H8"/>
    <mergeCell ref="C4:J4"/>
    <mergeCell ref="D5:J5"/>
    <mergeCell ref="H6:J6"/>
    <mergeCell ref="L11:O11"/>
    <mergeCell ref="P11:Q11"/>
    <mergeCell ref="C12:E12"/>
    <mergeCell ref="I12:J12"/>
    <mergeCell ref="L12:O12"/>
    <mergeCell ref="P12:Q12"/>
    <mergeCell ref="C11:E11"/>
    <mergeCell ref="I11:J11"/>
    <mergeCell ref="P13:Q13"/>
    <mergeCell ref="C14:E14"/>
    <mergeCell ref="I14:J14"/>
    <mergeCell ref="L14:O14"/>
    <mergeCell ref="P14:Q14"/>
    <mergeCell ref="C13:E13"/>
    <mergeCell ref="I13:J13"/>
    <mergeCell ref="L13:O13"/>
    <mergeCell ref="P15:Q15"/>
    <mergeCell ref="C16:E16"/>
    <mergeCell ref="I16:J16"/>
    <mergeCell ref="L16:O16"/>
    <mergeCell ref="P16:Q16"/>
    <mergeCell ref="C15:E15"/>
    <mergeCell ref="I15:J15"/>
    <mergeCell ref="L15:O15"/>
    <mergeCell ref="P17:Q17"/>
    <mergeCell ref="C18:E18"/>
    <mergeCell ref="I18:J18"/>
    <mergeCell ref="L18:O18"/>
    <mergeCell ref="P18:Q18"/>
    <mergeCell ref="C17:E17"/>
    <mergeCell ref="I17:J17"/>
    <mergeCell ref="L17:O17"/>
    <mergeCell ref="P19:Q19"/>
    <mergeCell ref="B21:D25"/>
    <mergeCell ref="H21:J21"/>
    <mergeCell ref="L21:O21"/>
    <mergeCell ref="H22:J22"/>
    <mergeCell ref="N22:O22"/>
    <mergeCell ref="H23:J23"/>
    <mergeCell ref="H25:J25"/>
    <mergeCell ref="L25:M25"/>
    <mergeCell ref="N25:O25"/>
    <mergeCell ref="C19:E19"/>
    <mergeCell ref="I19:J19"/>
    <mergeCell ref="L19:O19"/>
    <mergeCell ref="N23:O23"/>
    <mergeCell ref="H24:J24"/>
    <mergeCell ref="N24:O24"/>
  </mergeCells>
  <dataValidations count="2">
    <dataValidation type="whole" allowBlank="1" showInputMessage="1" showErrorMessage="1" errorTitle="Atenção" error="womp womp_x000a_" promptTitle="ATENÇÃO" prompt="Digite o ID do produto entre 2000 e 2025 " sqref="B11:B19" xr:uid="{67286614-F2A9-4C0D-9FF5-D4642A7D30AC}">
      <formula1>2000</formula1>
      <formula2>2025</formula2>
    </dataValidation>
    <dataValidation allowBlank="1" showErrorMessage="1" promptTitle="ATENÇÃO !!!" prompt="ID PRODUTO ENTRE 2000 E 2025." sqref="C11:J19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190500</xdr:rowOff>
                  </from>
                  <to>
                    <xdr:col>10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3:AC143"/>
  <sheetViews>
    <sheetView showGridLines="0" zoomScaleNormal="100" workbookViewId="0">
      <selection activeCell="F13" sqref="F13"/>
    </sheetView>
  </sheetViews>
  <sheetFormatPr defaultRowHeight="15" outlineLevelRow="2" x14ac:dyDescent="0.25"/>
  <cols>
    <col min="1" max="1" width="5.5703125" customWidth="1"/>
    <col min="2" max="2" width="52.5703125" customWidth="1"/>
    <col min="3" max="3" width="15.42578125" bestFit="1" customWidth="1"/>
    <col min="4" max="4" width="17.5703125" bestFit="1" customWidth="1"/>
    <col min="5" max="5" width="19.5703125" customWidth="1"/>
    <col min="15" max="15" width="11.85546875" customWidth="1"/>
    <col min="25" max="28" width="9.140625" style="1"/>
    <col min="29" max="29" width="10.28515625" style="1" customWidth="1"/>
  </cols>
  <sheetData>
    <row r="3" spans="1:24" s="1" customFormat="1" ht="15" customHeight="1" x14ac:dyDescent="0.25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 x14ac:dyDescent="0.3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x14ac:dyDescent="0.25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.75" thickBot="1" x14ac:dyDescent="0.3"/>
    <row r="8" spans="1:24" ht="21" thickBot="1" x14ac:dyDescent="0.35">
      <c r="B8" s="234" t="s">
        <v>20</v>
      </c>
      <c r="C8" s="235"/>
      <c r="D8" s="236"/>
    </row>
    <row r="9" spans="1:24" ht="15.75" thickBot="1" x14ac:dyDescent="0.3">
      <c r="C9" s="5"/>
    </row>
    <row r="10" spans="1:24" ht="15.75" thickBot="1" x14ac:dyDescent="0.3">
      <c r="B10" s="6" t="s">
        <v>0</v>
      </c>
      <c r="C10" s="7" t="s">
        <v>1</v>
      </c>
      <c r="D10" s="6" t="s">
        <v>2</v>
      </c>
    </row>
    <row r="11" spans="1:24" outlineLevel="2" x14ac:dyDescent="0.25">
      <c r="B11" s="8" t="s">
        <v>3</v>
      </c>
      <c r="C11" s="9">
        <v>34856</v>
      </c>
      <c r="D11" s="10">
        <v>565544</v>
      </c>
    </row>
    <row r="12" spans="1:24" s="1" customFormat="1" outlineLevel="2" x14ac:dyDescent="0.25">
      <c r="A12"/>
      <c r="B12" s="8" t="s">
        <v>3</v>
      </c>
      <c r="C12" s="11">
        <v>25221</v>
      </c>
      <c r="D12" s="12">
        <v>45214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 outlineLevel="2" x14ac:dyDescent="0.25">
      <c r="A13"/>
      <c r="B13" s="8" t="s">
        <v>3</v>
      </c>
      <c r="C13" s="11">
        <v>9857</v>
      </c>
      <c r="D13" s="12">
        <v>225663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 outlineLevel="2" x14ac:dyDescent="0.25">
      <c r="A14"/>
      <c r="B14" s="8" t="s">
        <v>3</v>
      </c>
      <c r="C14" s="11">
        <v>22336</v>
      </c>
      <c r="D14" s="12">
        <v>253654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 outlineLevel="2" x14ac:dyDescent="0.25">
      <c r="A15"/>
      <c r="B15" s="8" t="s">
        <v>3</v>
      </c>
      <c r="C15" s="11">
        <v>9587</v>
      </c>
      <c r="D15" s="12">
        <v>896542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 outlineLevel="1" x14ac:dyDescent="0.25">
      <c r="A16"/>
      <c r="B16" s="8" t="s">
        <v>131</v>
      </c>
      <c r="C16" s="11">
        <f>SUBTOTAL(9,C11:C15)</f>
        <v>101857</v>
      </c>
      <c r="D16" s="12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s="1" customFormat="1" outlineLevel="2" x14ac:dyDescent="0.25">
      <c r="A17"/>
      <c r="B17" s="13" t="s">
        <v>4</v>
      </c>
      <c r="C17" s="11">
        <v>9852</v>
      </c>
      <c r="D17" s="12">
        <v>12544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s="1" customFormat="1" outlineLevel="2" x14ac:dyDescent="0.25">
      <c r="A18"/>
      <c r="B18" s="13" t="s">
        <v>4</v>
      </c>
      <c r="C18" s="11">
        <v>11125</v>
      </c>
      <c r="D18" s="12">
        <v>25413</v>
      </c>
    </row>
    <row r="19" spans="1:22" s="1" customFormat="1" outlineLevel="2" x14ac:dyDescent="0.25">
      <c r="A19"/>
      <c r="B19" s="13" t="s">
        <v>4</v>
      </c>
      <c r="C19" s="11">
        <v>32556</v>
      </c>
      <c r="D19" s="12">
        <v>44474</v>
      </c>
    </row>
    <row r="20" spans="1:22" s="1" customFormat="1" outlineLevel="2" x14ac:dyDescent="0.25">
      <c r="A20"/>
      <c r="B20" s="13" t="s">
        <v>4</v>
      </c>
      <c r="C20" s="11">
        <v>45201</v>
      </c>
      <c r="D20" s="12">
        <v>142122</v>
      </c>
    </row>
    <row r="21" spans="1:22" s="1" customFormat="1" outlineLevel="2" x14ac:dyDescent="0.25">
      <c r="A21"/>
      <c r="B21" s="13" t="s">
        <v>4</v>
      </c>
      <c r="C21" s="11">
        <v>36982</v>
      </c>
      <c r="D21" s="12">
        <v>112253</v>
      </c>
    </row>
    <row r="22" spans="1:22" s="1" customFormat="1" outlineLevel="2" x14ac:dyDescent="0.25">
      <c r="A22"/>
      <c r="B22" s="13" t="s">
        <v>4</v>
      </c>
      <c r="C22" s="11">
        <v>41145</v>
      </c>
      <c r="D22" s="12">
        <v>121217</v>
      </c>
    </row>
    <row r="23" spans="1:22" s="1" customFormat="1" outlineLevel="2" x14ac:dyDescent="0.25">
      <c r="A23"/>
      <c r="B23" s="13" t="s">
        <v>4</v>
      </c>
      <c r="C23" s="11">
        <v>56632</v>
      </c>
      <c r="D23" s="12">
        <v>655554</v>
      </c>
    </row>
    <row r="24" spans="1:22" s="1" customFormat="1" outlineLevel="2" x14ac:dyDescent="0.25">
      <c r="A24"/>
      <c r="B24" s="13" t="s">
        <v>4</v>
      </c>
      <c r="C24" s="11">
        <v>41212</v>
      </c>
      <c r="D24" s="12">
        <v>561221</v>
      </c>
    </row>
    <row r="25" spans="1:22" s="1" customFormat="1" outlineLevel="1" x14ac:dyDescent="0.25">
      <c r="A25"/>
      <c r="B25" s="13" t="s">
        <v>132</v>
      </c>
      <c r="C25" s="11">
        <f>SUBTOTAL(9,C17:C24)</f>
        <v>274705</v>
      </c>
      <c r="D25" s="12"/>
    </row>
    <row r="26" spans="1:22" s="1" customFormat="1" outlineLevel="2" x14ac:dyDescent="0.25">
      <c r="A26"/>
      <c r="B26" s="13" t="s">
        <v>5</v>
      </c>
      <c r="C26" s="11">
        <v>19857</v>
      </c>
      <c r="D26" s="12">
        <v>121112</v>
      </c>
    </row>
    <row r="27" spans="1:22" s="1" customFormat="1" outlineLevel="2" x14ac:dyDescent="0.25">
      <c r="A27"/>
      <c r="B27" s="13" t="s">
        <v>5</v>
      </c>
      <c r="C27" s="11">
        <v>11741</v>
      </c>
      <c r="D27" s="12">
        <v>554112</v>
      </c>
    </row>
    <row r="28" spans="1:22" s="1" customFormat="1" outlineLevel="2" x14ac:dyDescent="0.25">
      <c r="A28"/>
      <c r="B28" s="13" t="s">
        <v>5</v>
      </c>
      <c r="C28" s="11">
        <v>22123</v>
      </c>
      <c r="D28" s="12">
        <v>185477</v>
      </c>
    </row>
    <row r="29" spans="1:22" s="1" customFormat="1" outlineLevel="2" x14ac:dyDescent="0.25">
      <c r="A29"/>
      <c r="B29" s="13" t="s">
        <v>5</v>
      </c>
      <c r="C29" s="11">
        <v>12365</v>
      </c>
      <c r="D29" s="12">
        <v>211456</v>
      </c>
    </row>
    <row r="30" spans="1:22" s="1" customFormat="1" outlineLevel="2" x14ac:dyDescent="0.25">
      <c r="A30"/>
      <c r="B30" s="13" t="s">
        <v>5</v>
      </c>
      <c r="C30" s="11">
        <v>6442</v>
      </c>
      <c r="D30" s="12">
        <v>121221</v>
      </c>
    </row>
    <row r="31" spans="1:22" s="1" customFormat="1" outlineLevel="2" x14ac:dyDescent="0.25">
      <c r="A31"/>
      <c r="B31" s="13" t="s">
        <v>5</v>
      </c>
      <c r="C31" s="11">
        <v>36985</v>
      </c>
      <c r="D31" s="12">
        <v>653222</v>
      </c>
    </row>
    <row r="32" spans="1:22" s="1" customFormat="1" outlineLevel="1" x14ac:dyDescent="0.25">
      <c r="A32"/>
      <c r="B32" s="13" t="s">
        <v>133</v>
      </c>
      <c r="C32" s="11">
        <f>SUBTOTAL(9,C26:C31)</f>
        <v>109513</v>
      </c>
      <c r="D32" s="12"/>
    </row>
    <row r="33" spans="1:4" s="1" customFormat="1" outlineLevel="2" x14ac:dyDescent="0.25">
      <c r="A33"/>
      <c r="B33" s="13" t="s">
        <v>6</v>
      </c>
      <c r="C33" s="11">
        <v>1256</v>
      </c>
      <c r="D33" s="12">
        <v>363512</v>
      </c>
    </row>
    <row r="34" spans="1:4" s="1" customFormat="1" outlineLevel="2" x14ac:dyDescent="0.25">
      <c r="A34"/>
      <c r="B34" s="13" t="s">
        <v>6</v>
      </c>
      <c r="C34" s="11">
        <v>985</v>
      </c>
      <c r="D34" s="12">
        <v>633221</v>
      </c>
    </row>
    <row r="35" spans="1:4" s="1" customFormat="1" outlineLevel="2" x14ac:dyDescent="0.25">
      <c r="A35"/>
      <c r="B35" s="13" t="s">
        <v>6</v>
      </c>
      <c r="C35" s="11">
        <v>46654.22</v>
      </c>
      <c r="D35" s="12">
        <v>545445</v>
      </c>
    </row>
    <row r="36" spans="1:4" s="1" customFormat="1" outlineLevel="2" x14ac:dyDescent="0.25">
      <c r="A36"/>
      <c r="B36" s="13" t="s">
        <v>6</v>
      </c>
      <c r="C36" s="11">
        <v>47242.16</v>
      </c>
      <c r="D36" s="12">
        <v>144587</v>
      </c>
    </row>
    <row r="37" spans="1:4" s="1" customFormat="1" outlineLevel="2" x14ac:dyDescent="0.25">
      <c r="B37" s="13" t="s">
        <v>6</v>
      </c>
      <c r="C37" s="11">
        <v>47885.47</v>
      </c>
      <c r="D37" s="12">
        <v>152214</v>
      </c>
    </row>
    <row r="38" spans="1:4" s="1" customFormat="1" outlineLevel="2" x14ac:dyDescent="0.25">
      <c r="B38" s="13" t="s">
        <v>6</v>
      </c>
      <c r="C38" s="11">
        <v>48420.45</v>
      </c>
      <c r="D38" s="12">
        <v>155634</v>
      </c>
    </row>
    <row r="39" spans="1:4" s="1" customFormat="1" outlineLevel="1" x14ac:dyDescent="0.25">
      <c r="B39" s="13" t="s">
        <v>134</v>
      </c>
      <c r="C39" s="11">
        <f>SUBTOTAL(9,C33:C38)</f>
        <v>192443.3</v>
      </c>
      <c r="D39" s="12"/>
    </row>
    <row r="40" spans="1:4" s="1" customFormat="1" outlineLevel="2" x14ac:dyDescent="0.25">
      <c r="B40" s="13" t="s">
        <v>7</v>
      </c>
      <c r="C40" s="11">
        <v>11232</v>
      </c>
      <c r="D40" s="12">
        <v>212211</v>
      </c>
    </row>
    <row r="41" spans="1:4" s="1" customFormat="1" outlineLevel="2" x14ac:dyDescent="0.25">
      <c r="B41" s="13" t="s">
        <v>7</v>
      </c>
      <c r="C41" s="11">
        <v>15254</v>
      </c>
      <c r="D41" s="12">
        <v>985589</v>
      </c>
    </row>
    <row r="42" spans="1:4" s="1" customFormat="1" outlineLevel="2" x14ac:dyDescent="0.25">
      <c r="B42" s="13" t="s">
        <v>7</v>
      </c>
      <c r="C42" s="11">
        <v>89954</v>
      </c>
      <c r="D42" s="12">
        <v>774444</v>
      </c>
    </row>
    <row r="43" spans="1:4" outlineLevel="2" x14ac:dyDescent="0.25">
      <c r="B43" s="13" t="s">
        <v>7</v>
      </c>
      <c r="C43" s="11">
        <v>78564</v>
      </c>
      <c r="D43" s="12">
        <v>985574</v>
      </c>
    </row>
    <row r="44" spans="1:4" outlineLevel="2" x14ac:dyDescent="0.25">
      <c r="B44" s="13" t="s">
        <v>7</v>
      </c>
      <c r="C44" s="11">
        <v>48963</v>
      </c>
      <c r="D44" s="14">
        <v>896523</v>
      </c>
    </row>
    <row r="45" spans="1:4" outlineLevel="2" x14ac:dyDescent="0.25">
      <c r="B45" s="13" t="s">
        <v>7</v>
      </c>
      <c r="C45" s="11">
        <v>6554</v>
      </c>
      <c r="D45" s="12">
        <v>554121</v>
      </c>
    </row>
    <row r="46" spans="1:4" outlineLevel="2" x14ac:dyDescent="0.25">
      <c r="B46" s="13" t="s">
        <v>7</v>
      </c>
      <c r="C46" s="11">
        <v>2245</v>
      </c>
      <c r="D46" s="12">
        <v>541223</v>
      </c>
    </row>
    <row r="47" spans="1:4" outlineLevel="2" x14ac:dyDescent="0.25">
      <c r="B47" s="13" t="s">
        <v>7</v>
      </c>
      <c r="C47" s="11">
        <v>6552</v>
      </c>
      <c r="D47" s="12">
        <v>411522</v>
      </c>
    </row>
    <row r="48" spans="1:4" outlineLevel="1" x14ac:dyDescent="0.25">
      <c r="B48" s="13" t="s">
        <v>135</v>
      </c>
      <c r="C48" s="11">
        <f>SUBTOTAL(9,C40:C47)</f>
        <v>259318</v>
      </c>
      <c r="D48" s="12"/>
    </row>
    <row r="49" spans="2:4" outlineLevel="2" x14ac:dyDescent="0.25">
      <c r="B49" s="13" t="s">
        <v>8</v>
      </c>
      <c r="C49" s="11">
        <v>2256</v>
      </c>
      <c r="D49" s="12">
        <v>411223</v>
      </c>
    </row>
    <row r="50" spans="2:4" outlineLevel="2" x14ac:dyDescent="0.25">
      <c r="B50" s="13" t="s">
        <v>8</v>
      </c>
      <c r="C50" s="11">
        <v>9874</v>
      </c>
      <c r="D50" s="12">
        <v>411244</v>
      </c>
    </row>
    <row r="51" spans="2:4" outlineLevel="2" x14ac:dyDescent="0.25">
      <c r="B51" s="13" t="s">
        <v>8</v>
      </c>
      <c r="C51" s="11">
        <v>5555</v>
      </c>
      <c r="D51" s="12">
        <v>221412</v>
      </c>
    </row>
    <row r="52" spans="2:4" outlineLevel="2" x14ac:dyDescent="0.25">
      <c r="B52" s="13" t="s">
        <v>8</v>
      </c>
      <c r="C52" s="11">
        <v>22251</v>
      </c>
      <c r="D52" s="12">
        <v>21555</v>
      </c>
    </row>
    <row r="53" spans="2:4" outlineLevel="2" x14ac:dyDescent="0.25">
      <c r="B53" s="13" t="s">
        <v>8</v>
      </c>
      <c r="C53" s="11">
        <v>19852</v>
      </c>
      <c r="D53" s="12">
        <v>15452</v>
      </c>
    </row>
    <row r="54" spans="2:4" outlineLevel="2" x14ac:dyDescent="0.25">
      <c r="B54" s="13" t="s">
        <v>8</v>
      </c>
      <c r="C54" s="11">
        <v>48963</v>
      </c>
      <c r="D54" s="12">
        <v>256314</v>
      </c>
    </row>
    <row r="55" spans="2:4" outlineLevel="2" x14ac:dyDescent="0.25">
      <c r="B55" s="13" t="s">
        <v>8</v>
      </c>
      <c r="C55" s="11">
        <v>14411</v>
      </c>
      <c r="D55" s="12">
        <v>115474</v>
      </c>
    </row>
    <row r="56" spans="2:4" outlineLevel="1" x14ac:dyDescent="0.25">
      <c r="B56" s="13" t="s">
        <v>136</v>
      </c>
      <c r="C56" s="11">
        <f>SUBTOTAL(9,C49:C55)</f>
        <v>123162</v>
      </c>
      <c r="D56" s="12"/>
    </row>
    <row r="57" spans="2:4" outlineLevel="2" x14ac:dyDescent="0.25">
      <c r="B57" s="13" t="s">
        <v>9</v>
      </c>
      <c r="C57" s="11">
        <v>142987</v>
      </c>
      <c r="D57" s="12">
        <v>114212</v>
      </c>
    </row>
    <row r="58" spans="2:4" outlineLevel="2" x14ac:dyDescent="0.25">
      <c r="B58" s="13" t="s">
        <v>9</v>
      </c>
      <c r="C58" s="11">
        <v>52698</v>
      </c>
      <c r="D58" s="12">
        <v>256332</v>
      </c>
    </row>
    <row r="59" spans="2:4" outlineLevel="2" x14ac:dyDescent="0.25">
      <c r="B59" s="13" t="s">
        <v>9</v>
      </c>
      <c r="C59" s="11">
        <v>45678</v>
      </c>
      <c r="D59" s="12">
        <v>215211</v>
      </c>
    </row>
    <row r="60" spans="2:4" outlineLevel="2" x14ac:dyDescent="0.25">
      <c r="B60" s="13" t="s">
        <v>9</v>
      </c>
      <c r="C60" s="11">
        <v>12526</v>
      </c>
      <c r="D60" s="12">
        <v>225148</v>
      </c>
    </row>
    <row r="61" spans="2:4" outlineLevel="2" x14ac:dyDescent="0.25">
      <c r="B61" s="13" t="s">
        <v>9</v>
      </c>
      <c r="C61" s="11">
        <v>23456</v>
      </c>
      <c r="D61" s="12">
        <v>256984</v>
      </c>
    </row>
    <row r="62" spans="2:4" outlineLevel="1" x14ac:dyDescent="0.25">
      <c r="B62" s="13" t="s">
        <v>137</v>
      </c>
      <c r="C62" s="11">
        <f>SUBTOTAL(9,C57:C61)</f>
        <v>277345</v>
      </c>
      <c r="D62" s="12"/>
    </row>
    <row r="63" spans="2:4" outlineLevel="2" x14ac:dyDescent="0.25">
      <c r="B63" s="13" t="s">
        <v>10</v>
      </c>
      <c r="C63" s="11">
        <v>97654</v>
      </c>
      <c r="D63" s="12">
        <v>112154</v>
      </c>
    </row>
    <row r="64" spans="2:4" outlineLevel="2" x14ac:dyDescent="0.25">
      <c r="B64" s="13" t="s">
        <v>10</v>
      </c>
      <c r="C64" s="11">
        <v>56789</v>
      </c>
      <c r="D64" s="12">
        <v>248963</v>
      </c>
    </row>
    <row r="65" spans="2:4" outlineLevel="2" x14ac:dyDescent="0.25">
      <c r="B65" s="13" t="s">
        <v>10</v>
      </c>
      <c r="C65" s="11">
        <v>36987</v>
      </c>
      <c r="D65" s="12">
        <v>256489</v>
      </c>
    </row>
    <row r="66" spans="2:4" outlineLevel="2" x14ac:dyDescent="0.25">
      <c r="B66" s="13" t="s">
        <v>10</v>
      </c>
      <c r="C66" s="11">
        <v>123456</v>
      </c>
      <c r="D66" s="12">
        <v>122536</v>
      </c>
    </row>
    <row r="67" spans="2:4" outlineLevel="2" x14ac:dyDescent="0.25">
      <c r="B67" s="13" t="s">
        <v>10</v>
      </c>
      <c r="C67" s="11">
        <v>25859</v>
      </c>
      <c r="D67" s="12">
        <v>568854</v>
      </c>
    </row>
    <row r="68" spans="2:4" outlineLevel="2" x14ac:dyDescent="0.25">
      <c r="B68" s="13" t="s">
        <v>10</v>
      </c>
      <c r="C68" s="11">
        <v>17896</v>
      </c>
      <c r="D68" s="12">
        <v>556352</v>
      </c>
    </row>
    <row r="69" spans="2:4" outlineLevel="2" x14ac:dyDescent="0.25">
      <c r="B69" s="13" t="s">
        <v>10</v>
      </c>
      <c r="C69" s="11">
        <v>49076</v>
      </c>
      <c r="D69" s="12">
        <v>552854</v>
      </c>
    </row>
    <row r="70" spans="2:4" outlineLevel="2" x14ac:dyDescent="0.25">
      <c r="B70" s="13" t="s">
        <v>10</v>
      </c>
      <c r="C70" s="11">
        <v>28965</v>
      </c>
      <c r="D70" s="12">
        <v>122525</v>
      </c>
    </row>
    <row r="71" spans="2:4" outlineLevel="2" x14ac:dyDescent="0.25">
      <c r="B71" s="13" t="s">
        <v>10</v>
      </c>
      <c r="C71" s="11">
        <v>36985</v>
      </c>
      <c r="D71" s="12">
        <v>241221</v>
      </c>
    </row>
    <row r="72" spans="2:4" outlineLevel="1" x14ac:dyDescent="0.25">
      <c r="B72" s="13" t="s">
        <v>138</v>
      </c>
      <c r="C72" s="11">
        <f>SUBTOTAL(9,C63:C71)</f>
        <v>473667</v>
      </c>
      <c r="D72" s="12"/>
    </row>
    <row r="73" spans="2:4" outlineLevel="2" x14ac:dyDescent="0.25">
      <c r="B73" s="13" t="s">
        <v>11</v>
      </c>
      <c r="C73" s="11">
        <v>45632</v>
      </c>
      <c r="D73" s="12">
        <v>656254</v>
      </c>
    </row>
    <row r="74" spans="2:4" outlineLevel="2" x14ac:dyDescent="0.25">
      <c r="B74" s="13" t="s">
        <v>11</v>
      </c>
      <c r="C74" s="11">
        <v>24896</v>
      </c>
      <c r="D74" s="12">
        <v>654101</v>
      </c>
    </row>
    <row r="75" spans="2:4" outlineLevel="2" x14ac:dyDescent="0.25">
      <c r="B75" s="13" t="s">
        <v>11</v>
      </c>
      <c r="C75" s="11">
        <v>17596</v>
      </c>
      <c r="D75" s="12">
        <v>556652</v>
      </c>
    </row>
    <row r="76" spans="2:4" outlineLevel="2" x14ac:dyDescent="0.25">
      <c r="B76" s="13" t="s">
        <v>11</v>
      </c>
      <c r="C76" s="11">
        <v>5698</v>
      </c>
      <c r="D76" s="12">
        <v>454541</v>
      </c>
    </row>
    <row r="77" spans="2:4" outlineLevel="2" x14ac:dyDescent="0.25">
      <c r="B77" s="13" t="s">
        <v>11</v>
      </c>
      <c r="C77" s="11">
        <v>9865</v>
      </c>
      <c r="D77" s="12">
        <v>322221</v>
      </c>
    </row>
    <row r="78" spans="2:4" outlineLevel="2" x14ac:dyDescent="0.25">
      <c r="B78" s="13" t="s">
        <v>11</v>
      </c>
      <c r="C78" s="11">
        <v>12365</v>
      </c>
      <c r="D78" s="12">
        <v>256544</v>
      </c>
    </row>
    <row r="79" spans="2:4" outlineLevel="2" x14ac:dyDescent="0.25">
      <c r="B79" s="13" t="s">
        <v>11</v>
      </c>
      <c r="C79" s="11">
        <v>12124</v>
      </c>
      <c r="D79" s="12">
        <v>561121</v>
      </c>
    </row>
    <row r="80" spans="2:4" outlineLevel="2" x14ac:dyDescent="0.25">
      <c r="B80" s="13" t="s">
        <v>11</v>
      </c>
      <c r="C80" s="11">
        <v>18965</v>
      </c>
      <c r="D80" s="12">
        <v>574544</v>
      </c>
    </row>
    <row r="81" spans="2:4" outlineLevel="2" x14ac:dyDescent="0.25">
      <c r="B81" s="13" t="s">
        <v>11</v>
      </c>
      <c r="C81" s="11">
        <v>21145</v>
      </c>
      <c r="D81" s="12">
        <v>157445</v>
      </c>
    </row>
    <row r="82" spans="2:4" outlineLevel="1" x14ac:dyDescent="0.25">
      <c r="B82" s="13" t="s">
        <v>139</v>
      </c>
      <c r="C82" s="11">
        <f>SUBTOTAL(9,C73:C81)</f>
        <v>168286</v>
      </c>
      <c r="D82" s="12"/>
    </row>
    <row r="83" spans="2:4" outlineLevel="2" x14ac:dyDescent="0.25">
      <c r="B83" s="13" t="s">
        <v>12</v>
      </c>
      <c r="C83" s="11">
        <v>14545</v>
      </c>
      <c r="D83" s="12">
        <v>111522</v>
      </c>
    </row>
    <row r="84" spans="2:4" outlineLevel="2" x14ac:dyDescent="0.25">
      <c r="B84" s="13" t="s">
        <v>12</v>
      </c>
      <c r="C84" s="11">
        <v>12566</v>
      </c>
      <c r="D84" s="12">
        <v>112235</v>
      </c>
    </row>
    <row r="85" spans="2:4" outlineLevel="2" x14ac:dyDescent="0.25">
      <c r="B85" s="13" t="s">
        <v>12</v>
      </c>
      <c r="C85" s="11">
        <v>17854</v>
      </c>
      <c r="D85" s="12">
        <v>211142</v>
      </c>
    </row>
    <row r="86" spans="2:4" outlineLevel="2" x14ac:dyDescent="0.25">
      <c r="B86" s="13" t="s">
        <v>12</v>
      </c>
      <c r="C86" s="11">
        <v>19325</v>
      </c>
      <c r="D86" s="12">
        <v>211331</v>
      </c>
    </row>
    <row r="87" spans="2:4" outlineLevel="2" x14ac:dyDescent="0.25">
      <c r="B87" s="13" t="s">
        <v>12</v>
      </c>
      <c r="C87" s="11">
        <v>16544</v>
      </c>
      <c r="D87" s="12">
        <v>654122</v>
      </c>
    </row>
    <row r="88" spans="2:4" outlineLevel="2" x14ac:dyDescent="0.25">
      <c r="B88" s="13" t="s">
        <v>12</v>
      </c>
      <c r="C88" s="11">
        <v>25632</v>
      </c>
      <c r="D88" s="12">
        <v>565213</v>
      </c>
    </row>
    <row r="89" spans="2:4" outlineLevel="1" x14ac:dyDescent="0.25">
      <c r="B89" s="13" t="s">
        <v>140</v>
      </c>
      <c r="C89" s="11">
        <f>SUBTOTAL(9,C83:C88)</f>
        <v>106466</v>
      </c>
      <c r="D89" s="12"/>
    </row>
    <row r="90" spans="2:4" outlineLevel="2" x14ac:dyDescent="0.25">
      <c r="B90" s="13" t="s">
        <v>13</v>
      </c>
      <c r="C90" s="11">
        <v>14567</v>
      </c>
      <c r="D90" s="12">
        <v>263589</v>
      </c>
    </row>
    <row r="91" spans="2:4" outlineLevel="2" x14ac:dyDescent="0.25">
      <c r="B91" s="13" t="s">
        <v>13</v>
      </c>
      <c r="C91" s="11">
        <v>38763</v>
      </c>
      <c r="D91" s="12">
        <v>126655</v>
      </c>
    </row>
    <row r="92" spans="2:4" outlineLevel="2" x14ac:dyDescent="0.25">
      <c r="B92" s="13" t="s">
        <v>13</v>
      </c>
      <c r="C92" s="11">
        <v>14552</v>
      </c>
      <c r="D92" s="14">
        <v>122636</v>
      </c>
    </row>
    <row r="93" spans="2:4" outlineLevel="2" x14ac:dyDescent="0.25">
      <c r="B93" s="13" t="s">
        <v>13</v>
      </c>
      <c r="C93" s="11">
        <v>34567</v>
      </c>
      <c r="D93" s="14">
        <v>156636</v>
      </c>
    </row>
    <row r="94" spans="2:4" outlineLevel="2" x14ac:dyDescent="0.25">
      <c r="B94" s="13" t="s">
        <v>13</v>
      </c>
      <c r="C94" s="11">
        <v>76889</v>
      </c>
      <c r="D94" s="12">
        <v>141252</v>
      </c>
    </row>
    <row r="95" spans="2:4" outlineLevel="2" x14ac:dyDescent="0.25">
      <c r="B95" s="13" t="s">
        <v>13</v>
      </c>
      <c r="C95" s="11">
        <v>34324</v>
      </c>
      <c r="D95" s="12">
        <v>225412</v>
      </c>
    </row>
    <row r="96" spans="2:4" outlineLevel="2" x14ac:dyDescent="0.25">
      <c r="B96" s="13" t="s">
        <v>13</v>
      </c>
      <c r="C96" s="11">
        <v>19976</v>
      </c>
      <c r="D96" s="12">
        <v>365212</v>
      </c>
    </row>
    <row r="97" spans="2:4" outlineLevel="1" x14ac:dyDescent="0.25">
      <c r="B97" s="13" t="s">
        <v>141</v>
      </c>
      <c r="C97" s="11">
        <f>SUBTOTAL(9,C90:C96)</f>
        <v>233638</v>
      </c>
      <c r="D97" s="12"/>
    </row>
    <row r="98" spans="2:4" outlineLevel="2" x14ac:dyDescent="0.25">
      <c r="B98" s="13" t="s">
        <v>14</v>
      </c>
      <c r="C98" s="11">
        <v>115567</v>
      </c>
      <c r="D98" s="12">
        <v>114522</v>
      </c>
    </row>
    <row r="99" spans="2:4" outlineLevel="2" x14ac:dyDescent="0.25">
      <c r="B99" s="13" t="s">
        <v>14</v>
      </c>
      <c r="C99" s="11">
        <v>98756</v>
      </c>
      <c r="D99" s="12">
        <v>655654</v>
      </c>
    </row>
    <row r="100" spans="2:4" outlineLevel="2" x14ac:dyDescent="0.25">
      <c r="B100" s="13" t="s">
        <v>14</v>
      </c>
      <c r="C100" s="11">
        <v>56789</v>
      </c>
      <c r="D100" s="12">
        <v>112554</v>
      </c>
    </row>
    <row r="101" spans="2:4" outlineLevel="2" x14ac:dyDescent="0.25">
      <c r="B101" s="13" t="s">
        <v>14</v>
      </c>
      <c r="C101" s="11">
        <v>65456</v>
      </c>
      <c r="D101" s="12">
        <v>663541</v>
      </c>
    </row>
    <row r="102" spans="2:4" outlineLevel="2" x14ac:dyDescent="0.25">
      <c r="B102" s="13" t="s">
        <v>14</v>
      </c>
      <c r="C102" s="11">
        <v>36789</v>
      </c>
      <c r="D102" s="12">
        <v>211122</v>
      </c>
    </row>
    <row r="103" spans="2:4" outlineLevel="2" x14ac:dyDescent="0.25">
      <c r="B103" s="13" t="s">
        <v>14</v>
      </c>
      <c r="C103" s="11">
        <v>65467</v>
      </c>
      <c r="D103" s="12">
        <v>226541</v>
      </c>
    </row>
    <row r="104" spans="2:4" outlineLevel="2" x14ac:dyDescent="0.25">
      <c r="B104" s="13" t="s">
        <v>14</v>
      </c>
      <c r="C104" s="11">
        <v>23456</v>
      </c>
      <c r="D104" s="12">
        <v>541141</v>
      </c>
    </row>
    <row r="105" spans="2:4" outlineLevel="2" x14ac:dyDescent="0.25">
      <c r="B105" s="13" t="s">
        <v>14</v>
      </c>
      <c r="C105" s="11">
        <v>54322</v>
      </c>
      <c r="D105" s="12">
        <v>522151</v>
      </c>
    </row>
    <row r="106" spans="2:4" outlineLevel="1" x14ac:dyDescent="0.25">
      <c r="B106" s="13" t="s">
        <v>142</v>
      </c>
      <c r="C106" s="11">
        <f>SUBTOTAL(9,C98:C105)</f>
        <v>516602</v>
      </c>
      <c r="D106" s="12"/>
    </row>
    <row r="107" spans="2:4" outlineLevel="2" x14ac:dyDescent="0.25">
      <c r="B107" s="13" t="s">
        <v>15</v>
      </c>
      <c r="C107" s="11">
        <v>14585</v>
      </c>
      <c r="D107" s="14">
        <v>511152</v>
      </c>
    </row>
    <row r="108" spans="2:4" outlineLevel="2" x14ac:dyDescent="0.25">
      <c r="B108" s="13" t="s">
        <v>15</v>
      </c>
      <c r="C108" s="11">
        <v>9876</v>
      </c>
      <c r="D108" s="14">
        <v>656252</v>
      </c>
    </row>
    <row r="109" spans="2:4" outlineLevel="2" x14ac:dyDescent="0.25">
      <c r="B109" s="13" t="s">
        <v>15</v>
      </c>
      <c r="C109" s="11">
        <v>6754</v>
      </c>
      <c r="D109" s="14">
        <v>422112</v>
      </c>
    </row>
    <row r="110" spans="2:4" outlineLevel="2" x14ac:dyDescent="0.25">
      <c r="B110" s="13" t="s">
        <v>15</v>
      </c>
      <c r="C110" s="11">
        <v>3456</v>
      </c>
      <c r="D110" s="12">
        <v>212221</v>
      </c>
    </row>
    <row r="111" spans="2:4" outlineLevel="1" x14ac:dyDescent="0.25">
      <c r="B111" s="13" t="s">
        <v>143</v>
      </c>
      <c r="C111" s="11">
        <f>SUBTOTAL(9,C107:C110)</f>
        <v>34671</v>
      </c>
      <c r="D111" s="12"/>
    </row>
    <row r="112" spans="2:4" outlineLevel="2" x14ac:dyDescent="0.25">
      <c r="B112" s="13" t="s">
        <v>16</v>
      </c>
      <c r="C112" s="11">
        <v>45678</v>
      </c>
      <c r="D112" s="12">
        <v>332211</v>
      </c>
    </row>
    <row r="113" spans="2:26" outlineLevel="2" x14ac:dyDescent="0.25">
      <c r="B113" s="13" t="s">
        <v>16</v>
      </c>
      <c r="C113" s="11">
        <v>32456</v>
      </c>
      <c r="D113" s="12">
        <v>445643</v>
      </c>
      <c r="Z113" s="1" t="s">
        <v>21</v>
      </c>
    </row>
    <row r="114" spans="2:26" outlineLevel="2" x14ac:dyDescent="0.25">
      <c r="B114" s="13" t="s">
        <v>16</v>
      </c>
      <c r="C114" s="11">
        <v>12347</v>
      </c>
      <c r="D114" s="12">
        <v>754455</v>
      </c>
    </row>
    <row r="115" spans="2:26" outlineLevel="2" x14ac:dyDescent="0.25">
      <c r="B115" s="13" t="s">
        <v>16</v>
      </c>
      <c r="C115" s="11">
        <v>97900</v>
      </c>
      <c r="D115" s="12">
        <v>654766</v>
      </c>
    </row>
    <row r="116" spans="2:26" outlineLevel="2" x14ac:dyDescent="0.25">
      <c r="B116" s="13" t="s">
        <v>16</v>
      </c>
      <c r="C116" s="11">
        <v>13456</v>
      </c>
      <c r="D116" s="12">
        <v>768543</v>
      </c>
    </row>
    <row r="117" spans="2:26" outlineLevel="2" x14ac:dyDescent="0.25">
      <c r="B117" s="13" t="s">
        <v>16</v>
      </c>
      <c r="C117" s="11">
        <v>78954</v>
      </c>
      <c r="D117" s="12">
        <v>343456</v>
      </c>
    </row>
    <row r="118" spans="2:26" outlineLevel="1" x14ac:dyDescent="0.25">
      <c r="B118" s="13" t="s">
        <v>144</v>
      </c>
      <c r="C118" s="11">
        <f>SUBTOTAL(9,C112:C117)</f>
        <v>280791</v>
      </c>
      <c r="D118" s="12"/>
    </row>
    <row r="119" spans="2:26" outlineLevel="2" x14ac:dyDescent="0.25">
      <c r="B119" s="13" t="s">
        <v>17</v>
      </c>
      <c r="C119" s="11">
        <v>16789</v>
      </c>
      <c r="D119" s="12">
        <v>552111</v>
      </c>
    </row>
    <row r="120" spans="2:26" outlineLevel="2" x14ac:dyDescent="0.25">
      <c r="B120" s="13" t="s">
        <v>17</v>
      </c>
      <c r="C120" s="11">
        <v>56789</v>
      </c>
      <c r="D120" s="12">
        <v>256332</v>
      </c>
    </row>
    <row r="121" spans="2:26" outlineLevel="2" x14ac:dyDescent="0.25">
      <c r="B121" s="13" t="s">
        <v>17</v>
      </c>
      <c r="C121" s="11">
        <v>23456</v>
      </c>
      <c r="D121" s="12">
        <v>554232</v>
      </c>
    </row>
    <row r="122" spans="2:26" outlineLevel="2" x14ac:dyDescent="0.25">
      <c r="B122" s="13" t="s">
        <v>17</v>
      </c>
      <c r="C122" s="11">
        <v>65432</v>
      </c>
      <c r="D122" s="12">
        <v>455524</v>
      </c>
    </row>
    <row r="123" spans="2:26" outlineLevel="2" x14ac:dyDescent="0.25">
      <c r="B123" s="13" t="s">
        <v>17</v>
      </c>
      <c r="C123" s="11">
        <v>21234</v>
      </c>
      <c r="D123" s="12">
        <v>556321</v>
      </c>
    </row>
    <row r="124" spans="2:26" outlineLevel="2" x14ac:dyDescent="0.25">
      <c r="B124" s="13" t="s">
        <v>17</v>
      </c>
      <c r="C124" s="11">
        <v>11224</v>
      </c>
      <c r="D124" s="12">
        <v>541255</v>
      </c>
    </row>
    <row r="125" spans="2:26" outlineLevel="1" x14ac:dyDescent="0.25">
      <c r="B125" s="13" t="s">
        <v>145</v>
      </c>
      <c r="C125" s="11">
        <f>SUBTOTAL(9,C119:C124)</f>
        <v>194924</v>
      </c>
      <c r="D125" s="12"/>
    </row>
    <row r="126" spans="2:26" outlineLevel="2" x14ac:dyDescent="0.25">
      <c r="B126" s="13" t="s">
        <v>18</v>
      </c>
      <c r="C126" s="11">
        <v>17525</v>
      </c>
      <c r="D126" s="12">
        <v>526321</v>
      </c>
    </row>
    <row r="127" spans="2:26" outlineLevel="2" x14ac:dyDescent="0.25">
      <c r="B127" s="13" t="s">
        <v>18</v>
      </c>
      <c r="C127" s="11">
        <v>25983</v>
      </c>
      <c r="D127" s="12">
        <v>565121</v>
      </c>
    </row>
    <row r="128" spans="2:26" outlineLevel="2" x14ac:dyDescent="0.25">
      <c r="B128" s="13" t="s">
        <v>18</v>
      </c>
      <c r="C128" s="11">
        <v>56662</v>
      </c>
      <c r="D128" s="12">
        <v>231566</v>
      </c>
    </row>
    <row r="129" spans="2:4" outlineLevel="2" x14ac:dyDescent="0.25">
      <c r="B129" s="13" t="s">
        <v>18</v>
      </c>
      <c r="C129" s="11">
        <v>66523</v>
      </c>
      <c r="D129" s="12">
        <v>366544</v>
      </c>
    </row>
    <row r="130" spans="2:4" outlineLevel="2" x14ac:dyDescent="0.25">
      <c r="B130" s="13" t="s">
        <v>18</v>
      </c>
      <c r="C130" s="11">
        <v>89652</v>
      </c>
      <c r="D130" s="12">
        <v>662354</v>
      </c>
    </row>
    <row r="131" spans="2:4" outlineLevel="2" x14ac:dyDescent="0.25">
      <c r="B131" s="13" t="s">
        <v>18</v>
      </c>
      <c r="C131" s="11">
        <v>23365</v>
      </c>
      <c r="D131" s="12">
        <v>665522</v>
      </c>
    </row>
    <row r="132" spans="2:4" outlineLevel="2" x14ac:dyDescent="0.25">
      <c r="B132" s="13" t="s">
        <v>18</v>
      </c>
      <c r="C132" s="11">
        <v>36985</v>
      </c>
      <c r="D132" s="14">
        <v>668523</v>
      </c>
    </row>
    <row r="133" spans="2:4" outlineLevel="2" x14ac:dyDescent="0.25">
      <c r="B133" s="13" t="s">
        <v>18</v>
      </c>
      <c r="C133" s="11">
        <v>56635</v>
      </c>
      <c r="D133" s="12">
        <v>555441</v>
      </c>
    </row>
    <row r="134" spans="2:4" outlineLevel="1" x14ac:dyDescent="0.25">
      <c r="B134" s="13" t="s">
        <v>146</v>
      </c>
      <c r="C134" s="11">
        <f>SUBTOTAL(9,C126:C133)</f>
        <v>373330</v>
      </c>
      <c r="D134" s="12"/>
    </row>
    <row r="135" spans="2:4" outlineLevel="2" x14ac:dyDescent="0.25">
      <c r="B135" s="13" t="s">
        <v>19</v>
      </c>
      <c r="C135" s="11">
        <v>113456</v>
      </c>
      <c r="D135" s="12">
        <v>122000</v>
      </c>
    </row>
    <row r="136" spans="2:4" outlineLevel="2" x14ac:dyDescent="0.25">
      <c r="B136" s="13" t="s">
        <v>19</v>
      </c>
      <c r="C136" s="11">
        <v>97654</v>
      </c>
      <c r="D136" s="12">
        <v>454545</v>
      </c>
    </row>
    <row r="137" spans="2:4" outlineLevel="2" x14ac:dyDescent="0.25">
      <c r="B137" s="13" t="s">
        <v>19</v>
      </c>
      <c r="C137" s="11">
        <v>22234</v>
      </c>
      <c r="D137" s="12">
        <v>565544</v>
      </c>
    </row>
    <row r="138" spans="2:4" outlineLevel="2" x14ac:dyDescent="0.25">
      <c r="B138" s="13" t="s">
        <v>19</v>
      </c>
      <c r="C138" s="11">
        <v>33456</v>
      </c>
      <c r="D138" s="12">
        <v>556441</v>
      </c>
    </row>
    <row r="139" spans="2:4" outlineLevel="2" x14ac:dyDescent="0.25">
      <c r="B139" s="13" t="s">
        <v>19</v>
      </c>
      <c r="C139" s="11">
        <v>35872</v>
      </c>
      <c r="D139" s="12">
        <v>556544</v>
      </c>
    </row>
    <row r="140" spans="2:4" outlineLevel="2" x14ac:dyDescent="0.25">
      <c r="B140" s="13" t="s">
        <v>19</v>
      </c>
      <c r="C140" s="11">
        <v>25893</v>
      </c>
      <c r="D140" s="12">
        <v>122533</v>
      </c>
    </row>
    <row r="141" spans="2:4" ht="15.75" outlineLevel="2" thickBot="1" x14ac:dyDescent="0.3">
      <c r="B141" s="15" t="s">
        <v>19</v>
      </c>
      <c r="C141" s="16">
        <v>65891</v>
      </c>
      <c r="D141" s="17">
        <v>125221</v>
      </c>
    </row>
    <row r="142" spans="2:4" outlineLevel="1" x14ac:dyDescent="0.25">
      <c r="B142" s="141" t="s">
        <v>147</v>
      </c>
      <c r="C142" s="142">
        <f>SUBTOTAL(9,C135:C141)</f>
        <v>394456</v>
      </c>
      <c r="D142" s="143"/>
    </row>
    <row r="143" spans="2:4" x14ac:dyDescent="0.25">
      <c r="B143" s="141" t="s">
        <v>148</v>
      </c>
      <c r="C143" s="142">
        <f>SUBTOTAL(9,C11:C141)</f>
        <v>4115174.3</v>
      </c>
      <c r="D143" s="143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lanilhaAnterior">
                <anchor moveWithCells="1" sizeWithCells="1">
                  <from>
                    <xdr:col>4</xdr:col>
                    <xdr:colOff>333375</xdr:colOff>
                    <xdr:row>2</xdr:row>
                    <xdr:rowOff>38100</xdr:rowOff>
                  </from>
                  <to>
                    <xdr:col>5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3:AC125"/>
  <sheetViews>
    <sheetView showGridLines="0" zoomScaleNormal="100" workbookViewId="0">
      <selection activeCell="F2" sqref="F2"/>
    </sheetView>
  </sheetViews>
  <sheetFormatPr defaultRowHeight="15" x14ac:dyDescent="0.25"/>
  <cols>
    <col min="1" max="1" width="5.5703125" customWidth="1"/>
    <col min="2" max="2" width="52.5703125" customWidth="1"/>
    <col min="3" max="3" width="14.28515625" bestFit="1" customWidth="1"/>
    <col min="4" max="4" width="17.5703125" bestFit="1" customWidth="1"/>
    <col min="5" max="5" width="11.5703125" customWidth="1"/>
    <col min="6" max="6" width="34.85546875" customWidth="1"/>
    <col min="7" max="7" width="30.7109375" customWidth="1"/>
    <col min="8" max="8" width="0.28515625" customWidth="1"/>
    <col min="15" max="15" width="11.85546875" customWidth="1"/>
    <col min="25" max="28" width="9.140625" style="1"/>
    <col min="29" max="29" width="10.28515625" style="1" customWidth="1"/>
  </cols>
  <sheetData>
    <row r="3" spans="1:24" s="1" customFormat="1" ht="15" customHeight="1" x14ac:dyDescent="0.25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 x14ac:dyDescent="0.3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x14ac:dyDescent="0.25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.75" thickBot="1" x14ac:dyDescent="0.3"/>
    <row r="8" spans="1:24" ht="21" thickBot="1" x14ac:dyDescent="0.35">
      <c r="B8" s="234" t="s">
        <v>50</v>
      </c>
      <c r="C8" s="235"/>
      <c r="D8" s="236"/>
      <c r="F8" s="234" t="s">
        <v>47</v>
      </c>
      <c r="G8" s="235"/>
      <c r="H8" s="236"/>
    </row>
    <row r="9" spans="1:24" ht="16.5" thickBot="1" x14ac:dyDescent="0.3">
      <c r="C9" s="5"/>
      <c r="F9" s="237"/>
      <c r="G9" s="237"/>
    </row>
    <row r="10" spans="1:24" ht="15.75" thickBot="1" x14ac:dyDescent="0.3">
      <c r="B10" s="6" t="s">
        <v>0</v>
      </c>
      <c r="C10" s="7" t="s">
        <v>1</v>
      </c>
      <c r="D10" s="6" t="s">
        <v>2</v>
      </c>
      <c r="F10" s="25" t="s">
        <v>0</v>
      </c>
      <c r="G10" s="26" t="s">
        <v>24</v>
      </c>
    </row>
    <row r="11" spans="1:24" x14ac:dyDescent="0.25">
      <c r="B11" s="8" t="s">
        <v>3</v>
      </c>
      <c r="C11" s="9">
        <v>34856</v>
      </c>
      <c r="D11" s="10">
        <v>565544</v>
      </c>
      <c r="F11" s="27" t="s">
        <v>3</v>
      </c>
      <c r="G11" s="144">
        <v>20371.400000000001</v>
      </c>
    </row>
    <row r="12" spans="1:24" s="1" customFormat="1" x14ac:dyDescent="0.25">
      <c r="A12"/>
      <c r="B12" s="8" t="s">
        <v>3</v>
      </c>
      <c r="C12" s="11">
        <v>25221</v>
      </c>
      <c r="D12" s="12">
        <v>45214</v>
      </c>
      <c r="E12"/>
      <c r="F12" s="28" t="s">
        <v>4</v>
      </c>
      <c r="G12" s="145">
        <v>34338.125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 x14ac:dyDescent="0.25">
      <c r="A13"/>
      <c r="B13" s="8" t="s">
        <v>3</v>
      </c>
      <c r="C13" s="11">
        <v>9857</v>
      </c>
      <c r="D13" s="12">
        <v>225663</v>
      </c>
      <c r="E13"/>
      <c r="F13" s="28" t="s">
        <v>5</v>
      </c>
      <c r="G13" s="145">
        <v>18252.166666666668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 x14ac:dyDescent="0.25">
      <c r="A14"/>
      <c r="B14" s="8" t="s">
        <v>3</v>
      </c>
      <c r="C14" s="11">
        <v>22336</v>
      </c>
      <c r="D14" s="12">
        <v>253654</v>
      </c>
      <c r="E14"/>
      <c r="F14" s="28" t="s">
        <v>6</v>
      </c>
      <c r="G14" s="145">
        <v>32073.883333333331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 x14ac:dyDescent="0.25">
      <c r="A15"/>
      <c r="B15" s="8" t="s">
        <v>3</v>
      </c>
      <c r="C15" s="11">
        <v>9587</v>
      </c>
      <c r="D15" s="12">
        <v>896542</v>
      </c>
      <c r="E15"/>
      <c r="F15" s="28" t="s">
        <v>7</v>
      </c>
      <c r="G15" s="145">
        <v>32414.75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 x14ac:dyDescent="0.25">
      <c r="A16"/>
      <c r="B16" s="13" t="s">
        <v>4</v>
      </c>
      <c r="C16" s="11">
        <v>9852</v>
      </c>
      <c r="D16" s="12">
        <v>12544</v>
      </c>
      <c r="E16"/>
      <c r="F16" s="28" t="s">
        <v>8</v>
      </c>
      <c r="G16" s="145">
        <v>17594.571428571428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7" s="1" customFormat="1" x14ac:dyDescent="0.25">
      <c r="A17"/>
      <c r="B17" s="13" t="s">
        <v>4</v>
      </c>
      <c r="C17" s="11">
        <v>11125</v>
      </c>
      <c r="D17" s="12">
        <v>25413</v>
      </c>
      <c r="F17" s="28" t="s">
        <v>9</v>
      </c>
      <c r="G17" s="145">
        <v>55469</v>
      </c>
    </row>
    <row r="18" spans="1:7" s="1" customFormat="1" x14ac:dyDescent="0.25">
      <c r="A18"/>
      <c r="B18" s="13" t="s">
        <v>4</v>
      </c>
      <c r="C18" s="11">
        <v>32556</v>
      </c>
      <c r="D18" s="12">
        <v>44474</v>
      </c>
      <c r="F18" s="28" t="s">
        <v>10</v>
      </c>
      <c r="G18" s="145">
        <v>52629.666666666664</v>
      </c>
    </row>
    <row r="19" spans="1:7" s="1" customFormat="1" x14ac:dyDescent="0.25">
      <c r="A19"/>
      <c r="B19" s="13" t="s">
        <v>4</v>
      </c>
      <c r="C19" s="11">
        <v>45201</v>
      </c>
      <c r="D19" s="12">
        <v>142122</v>
      </c>
      <c r="F19" s="28" t="s">
        <v>11</v>
      </c>
      <c r="G19" s="145">
        <v>18698.444444444445</v>
      </c>
    </row>
    <row r="20" spans="1:7" s="1" customFormat="1" x14ac:dyDescent="0.25">
      <c r="A20"/>
      <c r="B20" s="13" t="s">
        <v>4</v>
      </c>
      <c r="C20" s="11">
        <v>36982</v>
      </c>
      <c r="D20" s="12">
        <v>112253</v>
      </c>
      <c r="F20" s="28" t="s">
        <v>12</v>
      </c>
      <c r="G20" s="145">
        <v>17744.333333333332</v>
      </c>
    </row>
    <row r="21" spans="1:7" s="1" customFormat="1" x14ac:dyDescent="0.25">
      <c r="A21"/>
      <c r="B21" s="13" t="s">
        <v>4</v>
      </c>
      <c r="C21" s="11">
        <v>41145</v>
      </c>
      <c r="D21" s="12">
        <v>121217</v>
      </c>
      <c r="F21" s="28" t="s">
        <v>13</v>
      </c>
      <c r="G21" s="145">
        <v>33376.857142857145</v>
      </c>
    </row>
    <row r="22" spans="1:7" s="1" customFormat="1" x14ac:dyDescent="0.25">
      <c r="A22"/>
      <c r="B22" s="13" t="s">
        <v>4</v>
      </c>
      <c r="C22" s="11">
        <v>56632</v>
      </c>
      <c r="D22" s="12">
        <v>655554</v>
      </c>
      <c r="F22" s="28" t="s">
        <v>14</v>
      </c>
      <c r="G22" s="145">
        <v>64575.25</v>
      </c>
    </row>
    <row r="23" spans="1:7" s="1" customFormat="1" x14ac:dyDescent="0.25">
      <c r="A23"/>
      <c r="B23" s="13" t="s">
        <v>4</v>
      </c>
      <c r="C23" s="11">
        <v>41212</v>
      </c>
      <c r="D23" s="12">
        <v>561221</v>
      </c>
      <c r="F23" s="28" t="s">
        <v>15</v>
      </c>
      <c r="G23" s="145">
        <v>8667.75</v>
      </c>
    </row>
    <row r="24" spans="1:7" s="1" customFormat="1" x14ac:dyDescent="0.25">
      <c r="A24"/>
      <c r="B24" s="13" t="s">
        <v>5</v>
      </c>
      <c r="C24" s="11">
        <v>19857</v>
      </c>
      <c r="D24" s="12">
        <v>121112</v>
      </c>
      <c r="F24" s="29" t="s">
        <v>16</v>
      </c>
      <c r="G24" s="145">
        <v>46798.5</v>
      </c>
    </row>
    <row r="25" spans="1:7" s="1" customFormat="1" x14ac:dyDescent="0.25">
      <c r="A25"/>
      <c r="B25" s="13" t="s">
        <v>5</v>
      </c>
      <c r="C25" s="11">
        <v>11741</v>
      </c>
      <c r="D25" s="12">
        <v>554112</v>
      </c>
      <c r="F25" s="29" t="s">
        <v>17</v>
      </c>
      <c r="G25" s="145">
        <v>32487.333333333332</v>
      </c>
    </row>
    <row r="26" spans="1:7" s="1" customFormat="1" x14ac:dyDescent="0.25">
      <c r="A26"/>
      <c r="B26" s="13" t="s">
        <v>5</v>
      </c>
      <c r="C26" s="11">
        <v>22123</v>
      </c>
      <c r="D26" s="12">
        <v>185477</v>
      </c>
      <c r="F26" s="29" t="s">
        <v>18</v>
      </c>
      <c r="G26" s="145">
        <v>46666.25</v>
      </c>
    </row>
    <row r="27" spans="1:7" s="1" customFormat="1" ht="15.75" thickBot="1" x14ac:dyDescent="0.3">
      <c r="A27"/>
      <c r="B27" s="13" t="s">
        <v>5</v>
      </c>
      <c r="C27" s="11">
        <v>12365</v>
      </c>
      <c r="D27" s="12">
        <v>211456</v>
      </c>
      <c r="F27" s="30" t="s">
        <v>19</v>
      </c>
      <c r="G27" s="146">
        <v>56350.857142857145</v>
      </c>
    </row>
    <row r="28" spans="1:7" s="1" customFormat="1" x14ac:dyDescent="0.25">
      <c r="A28"/>
      <c r="B28" s="13" t="s">
        <v>5</v>
      </c>
      <c r="C28" s="11">
        <v>6442</v>
      </c>
      <c r="D28" s="12">
        <v>121221</v>
      </c>
    </row>
    <row r="29" spans="1:7" s="1" customFormat="1" x14ac:dyDescent="0.25">
      <c r="A29"/>
      <c r="B29" s="13" t="s">
        <v>5</v>
      </c>
      <c r="C29" s="11">
        <v>36985</v>
      </c>
      <c r="D29" s="12">
        <v>653222</v>
      </c>
    </row>
    <row r="30" spans="1:7" s="1" customFormat="1" x14ac:dyDescent="0.25">
      <c r="A30"/>
      <c r="B30" s="13" t="s">
        <v>6</v>
      </c>
      <c r="C30" s="11">
        <v>1256</v>
      </c>
      <c r="D30" s="12">
        <v>363512</v>
      </c>
    </row>
    <row r="31" spans="1:7" s="1" customFormat="1" x14ac:dyDescent="0.25">
      <c r="A31"/>
      <c r="B31" s="13" t="s">
        <v>6</v>
      </c>
      <c r="C31" s="11">
        <v>985</v>
      </c>
      <c r="D31" s="12">
        <v>633221</v>
      </c>
    </row>
    <row r="32" spans="1:7" s="1" customFormat="1" x14ac:dyDescent="0.25">
      <c r="A32"/>
      <c r="B32" s="13" t="s">
        <v>6</v>
      </c>
      <c r="C32" s="11">
        <v>46654.22</v>
      </c>
      <c r="D32" s="12">
        <v>545445</v>
      </c>
    </row>
    <row r="33" spans="1:4" s="1" customFormat="1" x14ac:dyDescent="0.25">
      <c r="A33"/>
      <c r="B33" s="13" t="s">
        <v>6</v>
      </c>
      <c r="C33" s="11">
        <v>47242.16</v>
      </c>
      <c r="D33" s="12">
        <v>144587</v>
      </c>
    </row>
    <row r="34" spans="1:4" s="1" customFormat="1" x14ac:dyDescent="0.25">
      <c r="B34" s="13" t="s">
        <v>6</v>
      </c>
      <c r="C34" s="11">
        <v>47885.47</v>
      </c>
      <c r="D34" s="12">
        <v>152214</v>
      </c>
    </row>
    <row r="35" spans="1:4" s="1" customFormat="1" x14ac:dyDescent="0.25">
      <c r="B35" s="13" t="s">
        <v>6</v>
      </c>
      <c r="C35" s="11">
        <v>48420.45</v>
      </c>
      <c r="D35" s="12">
        <v>155634</v>
      </c>
    </row>
    <row r="36" spans="1:4" s="1" customFormat="1" x14ac:dyDescent="0.25">
      <c r="B36" s="13" t="s">
        <v>7</v>
      </c>
      <c r="C36" s="11">
        <v>11232</v>
      </c>
      <c r="D36" s="12">
        <v>212211</v>
      </c>
    </row>
    <row r="37" spans="1:4" s="1" customFormat="1" x14ac:dyDescent="0.25">
      <c r="B37" s="13" t="s">
        <v>7</v>
      </c>
      <c r="C37" s="11">
        <v>15254</v>
      </c>
      <c r="D37" s="12">
        <v>985589</v>
      </c>
    </row>
    <row r="38" spans="1:4" s="1" customFormat="1" x14ac:dyDescent="0.25">
      <c r="B38" s="13" t="s">
        <v>7</v>
      </c>
      <c r="C38" s="11">
        <v>89954</v>
      </c>
      <c r="D38" s="12">
        <v>774444</v>
      </c>
    </row>
    <row r="39" spans="1:4" x14ac:dyDescent="0.25">
      <c r="B39" s="13" t="s">
        <v>7</v>
      </c>
      <c r="C39" s="11">
        <v>78564</v>
      </c>
      <c r="D39" s="12">
        <v>985574</v>
      </c>
    </row>
    <row r="40" spans="1:4" x14ac:dyDescent="0.25">
      <c r="B40" s="13" t="s">
        <v>7</v>
      </c>
      <c r="C40" s="11">
        <v>48963</v>
      </c>
      <c r="D40" s="14">
        <v>896523</v>
      </c>
    </row>
    <row r="41" spans="1:4" x14ac:dyDescent="0.25">
      <c r="B41" s="13" t="s">
        <v>7</v>
      </c>
      <c r="C41" s="11">
        <v>6554</v>
      </c>
      <c r="D41" s="12">
        <v>554121</v>
      </c>
    </row>
    <row r="42" spans="1:4" x14ac:dyDescent="0.25">
      <c r="B42" s="13" t="s">
        <v>7</v>
      </c>
      <c r="C42" s="11">
        <v>2245</v>
      </c>
      <c r="D42" s="12">
        <v>541223</v>
      </c>
    </row>
    <row r="43" spans="1:4" x14ac:dyDescent="0.25">
      <c r="B43" s="13" t="s">
        <v>7</v>
      </c>
      <c r="C43" s="11">
        <v>6552</v>
      </c>
      <c r="D43" s="12">
        <v>411522</v>
      </c>
    </row>
    <row r="44" spans="1:4" x14ac:dyDescent="0.25">
      <c r="B44" s="13" t="s">
        <v>8</v>
      </c>
      <c r="C44" s="11">
        <v>2256</v>
      </c>
      <c r="D44" s="12">
        <v>411223</v>
      </c>
    </row>
    <row r="45" spans="1:4" x14ac:dyDescent="0.25">
      <c r="B45" s="13" t="s">
        <v>8</v>
      </c>
      <c r="C45" s="11">
        <v>9874</v>
      </c>
      <c r="D45" s="12">
        <v>411244</v>
      </c>
    </row>
    <row r="46" spans="1:4" x14ac:dyDescent="0.25">
      <c r="B46" s="13" t="s">
        <v>8</v>
      </c>
      <c r="C46" s="11">
        <v>5555</v>
      </c>
      <c r="D46" s="12">
        <v>221412</v>
      </c>
    </row>
    <row r="47" spans="1:4" x14ac:dyDescent="0.25">
      <c r="B47" s="13" t="s">
        <v>8</v>
      </c>
      <c r="C47" s="11">
        <v>22251</v>
      </c>
      <c r="D47" s="12">
        <v>21555</v>
      </c>
    </row>
    <row r="48" spans="1:4" x14ac:dyDescent="0.25">
      <c r="B48" s="13" t="s">
        <v>8</v>
      </c>
      <c r="C48" s="11">
        <v>19852</v>
      </c>
      <c r="D48" s="12">
        <v>15452</v>
      </c>
    </row>
    <row r="49" spans="2:4" x14ac:dyDescent="0.25">
      <c r="B49" s="13" t="s">
        <v>8</v>
      </c>
      <c r="C49" s="11">
        <v>48963</v>
      </c>
      <c r="D49" s="12">
        <v>256314</v>
      </c>
    </row>
    <row r="50" spans="2:4" x14ac:dyDescent="0.25">
      <c r="B50" s="13" t="s">
        <v>8</v>
      </c>
      <c r="C50" s="11">
        <v>14411</v>
      </c>
      <c r="D50" s="12">
        <v>115474</v>
      </c>
    </row>
    <row r="51" spans="2:4" x14ac:dyDescent="0.25">
      <c r="B51" s="13" t="s">
        <v>9</v>
      </c>
      <c r="C51" s="11">
        <v>142987</v>
      </c>
      <c r="D51" s="12">
        <v>114212</v>
      </c>
    </row>
    <row r="52" spans="2:4" x14ac:dyDescent="0.25">
      <c r="B52" s="13" t="s">
        <v>9</v>
      </c>
      <c r="C52" s="11">
        <v>52698</v>
      </c>
      <c r="D52" s="12">
        <v>256332</v>
      </c>
    </row>
    <row r="53" spans="2:4" x14ac:dyDescent="0.25">
      <c r="B53" s="13" t="s">
        <v>9</v>
      </c>
      <c r="C53" s="11">
        <v>45678</v>
      </c>
      <c r="D53" s="12">
        <v>215211</v>
      </c>
    </row>
    <row r="54" spans="2:4" x14ac:dyDescent="0.25">
      <c r="B54" s="13" t="s">
        <v>9</v>
      </c>
      <c r="C54" s="11">
        <v>12526</v>
      </c>
      <c r="D54" s="12">
        <v>225148</v>
      </c>
    </row>
    <row r="55" spans="2:4" x14ac:dyDescent="0.25">
      <c r="B55" s="13" t="s">
        <v>9</v>
      </c>
      <c r="C55" s="11">
        <v>23456</v>
      </c>
      <c r="D55" s="12">
        <v>256984</v>
      </c>
    </row>
    <row r="56" spans="2:4" x14ac:dyDescent="0.25">
      <c r="B56" s="13" t="s">
        <v>10</v>
      </c>
      <c r="C56" s="11">
        <v>97654</v>
      </c>
      <c r="D56" s="12">
        <v>112154</v>
      </c>
    </row>
    <row r="57" spans="2:4" x14ac:dyDescent="0.25">
      <c r="B57" s="13" t="s">
        <v>10</v>
      </c>
      <c r="C57" s="11">
        <v>56789</v>
      </c>
      <c r="D57" s="12">
        <v>248963</v>
      </c>
    </row>
    <row r="58" spans="2:4" x14ac:dyDescent="0.25">
      <c r="B58" s="13" t="s">
        <v>10</v>
      </c>
      <c r="C58" s="11">
        <v>36987</v>
      </c>
      <c r="D58" s="12">
        <v>256489</v>
      </c>
    </row>
    <row r="59" spans="2:4" x14ac:dyDescent="0.25">
      <c r="B59" s="13" t="s">
        <v>10</v>
      </c>
      <c r="C59" s="11">
        <v>123456</v>
      </c>
      <c r="D59" s="12">
        <v>122536</v>
      </c>
    </row>
    <row r="60" spans="2:4" x14ac:dyDescent="0.25">
      <c r="B60" s="13" t="s">
        <v>10</v>
      </c>
      <c r="C60" s="11">
        <v>25859</v>
      </c>
      <c r="D60" s="12">
        <v>568854</v>
      </c>
    </row>
    <row r="61" spans="2:4" x14ac:dyDescent="0.25">
      <c r="B61" s="13" t="s">
        <v>10</v>
      </c>
      <c r="C61" s="11">
        <v>17896</v>
      </c>
      <c r="D61" s="12">
        <v>556352</v>
      </c>
    </row>
    <row r="62" spans="2:4" x14ac:dyDescent="0.25">
      <c r="B62" s="13" t="s">
        <v>10</v>
      </c>
      <c r="C62" s="11">
        <v>49076</v>
      </c>
      <c r="D62" s="12">
        <v>552854</v>
      </c>
    </row>
    <row r="63" spans="2:4" x14ac:dyDescent="0.25">
      <c r="B63" s="13" t="s">
        <v>10</v>
      </c>
      <c r="C63" s="11">
        <v>28965</v>
      </c>
      <c r="D63" s="12">
        <v>122525</v>
      </c>
    </row>
    <row r="64" spans="2:4" x14ac:dyDescent="0.25">
      <c r="B64" s="13" t="s">
        <v>10</v>
      </c>
      <c r="C64" s="11">
        <v>36985</v>
      </c>
      <c r="D64" s="12">
        <v>241221</v>
      </c>
    </row>
    <row r="65" spans="2:4" x14ac:dyDescent="0.25">
      <c r="B65" s="13" t="s">
        <v>11</v>
      </c>
      <c r="C65" s="11">
        <v>45632</v>
      </c>
      <c r="D65" s="12">
        <v>656254</v>
      </c>
    </row>
    <row r="66" spans="2:4" x14ac:dyDescent="0.25">
      <c r="B66" s="13" t="s">
        <v>11</v>
      </c>
      <c r="C66" s="11">
        <v>24896</v>
      </c>
      <c r="D66" s="12">
        <v>654101</v>
      </c>
    </row>
    <row r="67" spans="2:4" x14ac:dyDescent="0.25">
      <c r="B67" s="13" t="s">
        <v>11</v>
      </c>
      <c r="C67" s="11">
        <v>17596</v>
      </c>
      <c r="D67" s="12">
        <v>556652</v>
      </c>
    </row>
    <row r="68" spans="2:4" x14ac:dyDescent="0.25">
      <c r="B68" s="13" t="s">
        <v>11</v>
      </c>
      <c r="C68" s="11">
        <v>5698</v>
      </c>
      <c r="D68" s="12">
        <v>454541</v>
      </c>
    </row>
    <row r="69" spans="2:4" x14ac:dyDescent="0.25">
      <c r="B69" s="13" t="s">
        <v>11</v>
      </c>
      <c r="C69" s="11">
        <v>9865</v>
      </c>
      <c r="D69" s="12">
        <v>322221</v>
      </c>
    </row>
    <row r="70" spans="2:4" x14ac:dyDescent="0.25">
      <c r="B70" s="13" t="s">
        <v>11</v>
      </c>
      <c r="C70" s="11">
        <v>12365</v>
      </c>
      <c r="D70" s="12">
        <v>256544</v>
      </c>
    </row>
    <row r="71" spans="2:4" x14ac:dyDescent="0.25">
      <c r="B71" s="13" t="s">
        <v>11</v>
      </c>
      <c r="C71" s="11">
        <v>12124</v>
      </c>
      <c r="D71" s="12">
        <v>561121</v>
      </c>
    </row>
    <row r="72" spans="2:4" x14ac:dyDescent="0.25">
      <c r="B72" s="13" t="s">
        <v>11</v>
      </c>
      <c r="C72" s="11">
        <v>18965</v>
      </c>
      <c r="D72" s="12">
        <v>574544</v>
      </c>
    </row>
    <row r="73" spans="2:4" x14ac:dyDescent="0.25">
      <c r="B73" s="13" t="s">
        <v>11</v>
      </c>
      <c r="C73" s="11">
        <v>21145</v>
      </c>
      <c r="D73" s="12">
        <v>157445</v>
      </c>
    </row>
    <row r="74" spans="2:4" x14ac:dyDescent="0.25">
      <c r="B74" s="13" t="s">
        <v>12</v>
      </c>
      <c r="C74" s="11">
        <v>14545</v>
      </c>
      <c r="D74" s="12">
        <v>111522</v>
      </c>
    </row>
    <row r="75" spans="2:4" x14ac:dyDescent="0.25">
      <c r="B75" s="13" t="s">
        <v>12</v>
      </c>
      <c r="C75" s="11">
        <v>12566</v>
      </c>
      <c r="D75" s="12">
        <v>112235</v>
      </c>
    </row>
    <row r="76" spans="2:4" x14ac:dyDescent="0.25">
      <c r="B76" s="13" t="s">
        <v>12</v>
      </c>
      <c r="C76" s="11">
        <v>17854</v>
      </c>
      <c r="D76" s="12">
        <v>211142</v>
      </c>
    </row>
    <row r="77" spans="2:4" x14ac:dyDescent="0.25">
      <c r="B77" s="13" t="s">
        <v>12</v>
      </c>
      <c r="C77" s="11">
        <v>19325</v>
      </c>
      <c r="D77" s="12">
        <v>211331</v>
      </c>
    </row>
    <row r="78" spans="2:4" x14ac:dyDescent="0.25">
      <c r="B78" s="13" t="s">
        <v>12</v>
      </c>
      <c r="C78" s="11">
        <v>16544</v>
      </c>
      <c r="D78" s="12">
        <v>654122</v>
      </c>
    </row>
    <row r="79" spans="2:4" x14ac:dyDescent="0.25">
      <c r="B79" s="13" t="s">
        <v>12</v>
      </c>
      <c r="C79" s="11">
        <v>25632</v>
      </c>
      <c r="D79" s="12">
        <v>565213</v>
      </c>
    </row>
    <row r="80" spans="2:4" x14ac:dyDescent="0.25">
      <c r="B80" s="13" t="s">
        <v>13</v>
      </c>
      <c r="C80" s="11">
        <v>14567</v>
      </c>
      <c r="D80" s="12">
        <v>263589</v>
      </c>
    </row>
    <row r="81" spans="2:4" x14ac:dyDescent="0.25">
      <c r="B81" s="13" t="s">
        <v>13</v>
      </c>
      <c r="C81" s="11">
        <v>38763</v>
      </c>
      <c r="D81" s="12">
        <v>126655</v>
      </c>
    </row>
    <row r="82" spans="2:4" x14ac:dyDescent="0.25">
      <c r="B82" s="13" t="s">
        <v>13</v>
      </c>
      <c r="C82" s="11">
        <v>14552</v>
      </c>
      <c r="D82" s="14">
        <v>122636</v>
      </c>
    </row>
    <row r="83" spans="2:4" x14ac:dyDescent="0.25">
      <c r="B83" s="13" t="s">
        <v>13</v>
      </c>
      <c r="C83" s="11">
        <v>34567</v>
      </c>
      <c r="D83" s="14">
        <v>156636</v>
      </c>
    </row>
    <row r="84" spans="2:4" x14ac:dyDescent="0.25">
      <c r="B84" s="13" t="s">
        <v>13</v>
      </c>
      <c r="C84" s="11">
        <v>76889</v>
      </c>
      <c r="D84" s="12">
        <v>141252</v>
      </c>
    </row>
    <row r="85" spans="2:4" x14ac:dyDescent="0.25">
      <c r="B85" s="13" t="s">
        <v>13</v>
      </c>
      <c r="C85" s="11">
        <v>34324</v>
      </c>
      <c r="D85" s="12">
        <v>225412</v>
      </c>
    </row>
    <row r="86" spans="2:4" x14ac:dyDescent="0.25">
      <c r="B86" s="13" t="s">
        <v>13</v>
      </c>
      <c r="C86" s="11">
        <v>19976</v>
      </c>
      <c r="D86" s="12">
        <v>365212</v>
      </c>
    </row>
    <row r="87" spans="2:4" x14ac:dyDescent="0.25">
      <c r="B87" s="13" t="s">
        <v>14</v>
      </c>
      <c r="C87" s="11">
        <v>115567</v>
      </c>
      <c r="D87" s="12">
        <v>114522</v>
      </c>
    </row>
    <row r="88" spans="2:4" x14ac:dyDescent="0.25">
      <c r="B88" s="13" t="s">
        <v>14</v>
      </c>
      <c r="C88" s="11">
        <v>98756</v>
      </c>
      <c r="D88" s="12">
        <v>655654</v>
      </c>
    </row>
    <row r="89" spans="2:4" x14ac:dyDescent="0.25">
      <c r="B89" s="13" t="s">
        <v>14</v>
      </c>
      <c r="C89" s="11">
        <v>56789</v>
      </c>
      <c r="D89" s="12">
        <v>112554</v>
      </c>
    </row>
    <row r="90" spans="2:4" x14ac:dyDescent="0.25">
      <c r="B90" s="13" t="s">
        <v>14</v>
      </c>
      <c r="C90" s="11">
        <v>65456</v>
      </c>
      <c r="D90" s="12">
        <v>663541</v>
      </c>
    </row>
    <row r="91" spans="2:4" x14ac:dyDescent="0.25">
      <c r="B91" s="13" t="s">
        <v>14</v>
      </c>
      <c r="C91" s="11">
        <v>36789</v>
      </c>
      <c r="D91" s="12">
        <v>211122</v>
      </c>
    </row>
    <row r="92" spans="2:4" x14ac:dyDescent="0.25">
      <c r="B92" s="13" t="s">
        <v>14</v>
      </c>
      <c r="C92" s="11">
        <v>65467</v>
      </c>
      <c r="D92" s="12">
        <v>226541</v>
      </c>
    </row>
    <row r="93" spans="2:4" x14ac:dyDescent="0.25">
      <c r="B93" s="13" t="s">
        <v>14</v>
      </c>
      <c r="C93" s="11">
        <v>23456</v>
      </c>
      <c r="D93" s="12">
        <v>541141</v>
      </c>
    </row>
    <row r="94" spans="2:4" x14ac:dyDescent="0.25">
      <c r="B94" s="13" t="s">
        <v>14</v>
      </c>
      <c r="C94" s="11">
        <v>54322</v>
      </c>
      <c r="D94" s="12">
        <v>522151</v>
      </c>
    </row>
    <row r="95" spans="2:4" x14ac:dyDescent="0.25">
      <c r="B95" s="13" t="s">
        <v>15</v>
      </c>
      <c r="C95" s="11">
        <v>14585</v>
      </c>
      <c r="D95" s="14">
        <v>511152</v>
      </c>
    </row>
    <row r="96" spans="2:4" x14ac:dyDescent="0.25">
      <c r="B96" s="13" t="s">
        <v>15</v>
      </c>
      <c r="C96" s="11">
        <v>9876</v>
      </c>
      <c r="D96" s="14">
        <v>656252</v>
      </c>
    </row>
    <row r="97" spans="2:28" x14ac:dyDescent="0.25">
      <c r="B97" s="13" t="s">
        <v>15</v>
      </c>
      <c r="C97" s="11">
        <v>6754</v>
      </c>
      <c r="D97" s="14">
        <v>422112</v>
      </c>
    </row>
    <row r="98" spans="2:28" x14ac:dyDescent="0.25">
      <c r="B98" s="13" t="s">
        <v>15</v>
      </c>
      <c r="C98" s="11">
        <v>3456</v>
      </c>
      <c r="D98" s="12">
        <v>212221</v>
      </c>
    </row>
    <row r="99" spans="2:28" x14ac:dyDescent="0.25">
      <c r="B99" s="13" t="s">
        <v>16</v>
      </c>
      <c r="C99" s="11">
        <v>45678</v>
      </c>
      <c r="D99" s="12">
        <v>332211</v>
      </c>
    </row>
    <row r="100" spans="2:28" x14ac:dyDescent="0.25">
      <c r="B100" s="13" t="s">
        <v>16</v>
      </c>
      <c r="C100" s="11">
        <v>32456</v>
      </c>
      <c r="D100" s="12">
        <v>445643</v>
      </c>
      <c r="Z100" s="24" t="s">
        <v>23</v>
      </c>
      <c r="AA100"/>
      <c r="AB100"/>
    </row>
    <row r="101" spans="2:28" x14ac:dyDescent="0.25">
      <c r="B101" s="13" t="s">
        <v>16</v>
      </c>
      <c r="C101" s="11">
        <v>12347</v>
      </c>
      <c r="D101" s="12">
        <v>754455</v>
      </c>
      <c r="Z101" s="24" t="s">
        <v>22</v>
      </c>
      <c r="AA101"/>
      <c r="AB101"/>
    </row>
    <row r="102" spans="2:28" x14ac:dyDescent="0.25">
      <c r="B102" s="13" t="s">
        <v>16</v>
      </c>
      <c r="C102" s="11">
        <v>97900</v>
      </c>
      <c r="D102" s="12">
        <v>654766</v>
      </c>
    </row>
    <row r="103" spans="2:28" x14ac:dyDescent="0.25">
      <c r="B103" s="13" t="s">
        <v>16</v>
      </c>
      <c r="C103" s="11">
        <v>13456</v>
      </c>
      <c r="D103" s="12">
        <v>768543</v>
      </c>
    </row>
    <row r="104" spans="2:28" x14ac:dyDescent="0.25">
      <c r="B104" s="13" t="s">
        <v>16</v>
      </c>
      <c r="C104" s="11">
        <v>78954</v>
      </c>
      <c r="D104" s="12">
        <v>343456</v>
      </c>
    </row>
    <row r="105" spans="2:28" x14ac:dyDescent="0.25">
      <c r="B105" s="13" t="s">
        <v>17</v>
      </c>
      <c r="C105" s="11">
        <v>16789</v>
      </c>
      <c r="D105" s="12">
        <v>552111</v>
      </c>
    </row>
    <row r="106" spans="2:28" x14ac:dyDescent="0.25">
      <c r="B106" s="13" t="s">
        <v>17</v>
      </c>
      <c r="C106" s="11">
        <v>56789</v>
      </c>
      <c r="D106" s="12">
        <v>256332</v>
      </c>
    </row>
    <row r="107" spans="2:28" x14ac:dyDescent="0.25">
      <c r="B107" s="13" t="s">
        <v>17</v>
      </c>
      <c r="C107" s="11">
        <v>23456</v>
      </c>
      <c r="D107" s="12">
        <v>554232</v>
      </c>
    </row>
    <row r="108" spans="2:28" x14ac:dyDescent="0.25">
      <c r="B108" s="13" t="s">
        <v>17</v>
      </c>
      <c r="C108" s="11">
        <v>65432</v>
      </c>
      <c r="D108" s="12">
        <v>455524</v>
      </c>
    </row>
    <row r="109" spans="2:28" x14ac:dyDescent="0.25">
      <c r="B109" s="13" t="s">
        <v>17</v>
      </c>
      <c r="C109" s="11">
        <v>21234</v>
      </c>
      <c r="D109" s="12">
        <v>556321</v>
      </c>
    </row>
    <row r="110" spans="2:28" x14ac:dyDescent="0.25">
      <c r="B110" s="13" t="s">
        <v>17</v>
      </c>
      <c r="C110" s="11">
        <v>11224</v>
      </c>
      <c r="D110" s="12">
        <v>541255</v>
      </c>
    </row>
    <row r="111" spans="2:28" x14ac:dyDescent="0.25">
      <c r="B111" s="13" t="s">
        <v>18</v>
      </c>
      <c r="C111" s="11">
        <v>17525</v>
      </c>
      <c r="D111" s="12">
        <v>526321</v>
      </c>
    </row>
    <row r="112" spans="2:28" x14ac:dyDescent="0.25">
      <c r="B112" s="13" t="s">
        <v>18</v>
      </c>
      <c r="C112" s="11">
        <v>25983</v>
      </c>
      <c r="D112" s="12">
        <v>565121</v>
      </c>
    </row>
    <row r="113" spans="2:4" x14ac:dyDescent="0.25">
      <c r="B113" s="13" t="s">
        <v>18</v>
      </c>
      <c r="C113" s="11">
        <v>56662</v>
      </c>
      <c r="D113" s="12">
        <v>231566</v>
      </c>
    </row>
    <row r="114" spans="2:4" x14ac:dyDescent="0.25">
      <c r="B114" s="13" t="s">
        <v>18</v>
      </c>
      <c r="C114" s="11">
        <v>66523</v>
      </c>
      <c r="D114" s="12">
        <v>366544</v>
      </c>
    </row>
    <row r="115" spans="2:4" x14ac:dyDescent="0.25">
      <c r="B115" s="13" t="s">
        <v>18</v>
      </c>
      <c r="C115" s="11">
        <v>89652</v>
      </c>
      <c r="D115" s="12">
        <v>662354</v>
      </c>
    </row>
    <row r="116" spans="2:4" x14ac:dyDescent="0.25">
      <c r="B116" s="13" t="s">
        <v>18</v>
      </c>
      <c r="C116" s="11">
        <v>23365</v>
      </c>
      <c r="D116" s="12">
        <v>665522</v>
      </c>
    </row>
    <row r="117" spans="2:4" x14ac:dyDescent="0.25">
      <c r="B117" s="13" t="s">
        <v>18</v>
      </c>
      <c r="C117" s="11">
        <v>36985</v>
      </c>
      <c r="D117" s="14">
        <v>668523</v>
      </c>
    </row>
    <row r="118" spans="2:4" x14ac:dyDescent="0.25">
      <c r="B118" s="13" t="s">
        <v>18</v>
      </c>
      <c r="C118" s="11">
        <v>56635</v>
      </c>
      <c r="D118" s="12">
        <v>555441</v>
      </c>
    </row>
    <row r="119" spans="2:4" x14ac:dyDescent="0.25">
      <c r="B119" s="13" t="s">
        <v>19</v>
      </c>
      <c r="C119" s="11">
        <v>113456</v>
      </c>
      <c r="D119" s="12">
        <v>122000</v>
      </c>
    </row>
    <row r="120" spans="2:4" x14ac:dyDescent="0.25">
      <c r="B120" s="13" t="s">
        <v>19</v>
      </c>
      <c r="C120" s="11">
        <v>97654</v>
      </c>
      <c r="D120" s="12">
        <v>454545</v>
      </c>
    </row>
    <row r="121" spans="2:4" x14ac:dyDescent="0.25">
      <c r="B121" s="13" t="s">
        <v>19</v>
      </c>
      <c r="C121" s="11">
        <v>22234</v>
      </c>
      <c r="D121" s="12">
        <v>565544</v>
      </c>
    </row>
    <row r="122" spans="2:4" x14ac:dyDescent="0.25">
      <c r="B122" s="13" t="s">
        <v>19</v>
      </c>
      <c r="C122" s="11">
        <v>33456</v>
      </c>
      <c r="D122" s="12">
        <v>556441</v>
      </c>
    </row>
    <row r="123" spans="2:4" x14ac:dyDescent="0.25">
      <c r="B123" s="13" t="s">
        <v>19</v>
      </c>
      <c r="C123" s="11">
        <v>35872</v>
      </c>
      <c r="D123" s="12">
        <v>556544</v>
      </c>
    </row>
    <row r="124" spans="2:4" x14ac:dyDescent="0.25">
      <c r="B124" s="13" t="s">
        <v>19</v>
      </c>
      <c r="C124" s="11">
        <v>25893</v>
      </c>
      <c r="D124" s="12">
        <v>122533</v>
      </c>
    </row>
    <row r="125" spans="2:4" ht="15.75" thickBot="1" x14ac:dyDescent="0.3">
      <c r="B125" s="15" t="s">
        <v>19</v>
      </c>
      <c r="C125" s="16">
        <v>65891</v>
      </c>
      <c r="D125" s="17">
        <v>125221</v>
      </c>
    </row>
  </sheetData>
  <dataConsolidate function="average">
    <dataRefs count="1">
      <dataRef ref="B11:C125" sheet="CONSOLIDAR"/>
    </dataRefs>
  </dataConsolidate>
  <mergeCells count="3">
    <mergeCell ref="B8:D8"/>
    <mergeCell ref="F8:H8"/>
    <mergeCell ref="F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lanilhaAnterior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5</xdr:col>
                    <xdr:colOff>1809750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3:AC125"/>
  <sheetViews>
    <sheetView showGridLines="0" zoomScale="92" zoomScaleNormal="100" workbookViewId="0">
      <selection activeCell="K2" sqref="K2"/>
    </sheetView>
  </sheetViews>
  <sheetFormatPr defaultRowHeight="15" x14ac:dyDescent="0.25"/>
  <cols>
    <col min="1" max="1" width="5.5703125" customWidth="1"/>
    <col min="2" max="2" width="38.85546875" customWidth="1"/>
    <col min="3" max="3" width="15.140625" customWidth="1"/>
    <col min="4" max="4" width="15.5703125" customWidth="1"/>
    <col min="5" max="5" width="16.140625" customWidth="1"/>
    <col min="6" max="6" width="17.5703125" customWidth="1"/>
    <col min="7" max="8" width="0.28515625" customWidth="1"/>
    <col min="9" max="9" width="29.85546875" bestFit="1" customWidth="1"/>
    <col min="10" max="10" width="14.140625" bestFit="1" customWidth="1"/>
    <col min="11" max="11" width="16.28515625" bestFit="1" customWidth="1"/>
    <col min="12" max="12" width="13.28515625" bestFit="1" customWidth="1"/>
    <col min="15" max="15" width="11.85546875" customWidth="1"/>
    <col min="25" max="28" width="9.140625" style="1"/>
    <col min="29" max="29" width="10.28515625" style="1" customWidth="1"/>
  </cols>
  <sheetData>
    <row r="3" spans="1:24" s="1" customFormat="1" ht="15" customHeight="1" x14ac:dyDescent="0.25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 x14ac:dyDescent="0.3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x14ac:dyDescent="0.25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.75" thickBot="1" x14ac:dyDescent="0.3"/>
    <row r="8" spans="1:24" ht="21" thickBot="1" x14ac:dyDescent="0.35">
      <c r="B8" s="234" t="s">
        <v>49</v>
      </c>
      <c r="C8" s="235"/>
      <c r="D8" s="235"/>
      <c r="E8" s="235"/>
      <c r="F8" s="235"/>
      <c r="G8" s="235"/>
      <c r="H8" s="236"/>
      <c r="I8" s="151" t="s">
        <v>26</v>
      </c>
      <c r="J8" t="s">
        <v>171</v>
      </c>
    </row>
    <row r="9" spans="1:24" ht="12.75" customHeight="1" thickBot="1" x14ac:dyDescent="0.3">
      <c r="C9" s="5"/>
      <c r="F9" s="237"/>
      <c r="G9" s="237"/>
    </row>
    <row r="10" spans="1:24" ht="15.75" thickBot="1" x14ac:dyDescent="0.3">
      <c r="B10" s="54" t="s">
        <v>25</v>
      </c>
      <c r="C10" s="55" t="s">
        <v>26</v>
      </c>
      <c r="D10" s="56" t="s">
        <v>27</v>
      </c>
      <c r="E10" s="56" t="s">
        <v>28</v>
      </c>
      <c r="F10" s="57" t="s">
        <v>29</v>
      </c>
      <c r="G10" s="31"/>
      <c r="I10" s="151" t="s">
        <v>166</v>
      </c>
      <c r="J10" t="s">
        <v>167</v>
      </c>
      <c r="K10" t="s">
        <v>169</v>
      </c>
      <c r="L10" t="s">
        <v>170</v>
      </c>
    </row>
    <row r="11" spans="1:24" x14ac:dyDescent="0.25">
      <c r="B11" s="49" t="s">
        <v>30</v>
      </c>
      <c r="C11" s="50" t="s">
        <v>31</v>
      </c>
      <c r="D11" s="51">
        <v>456</v>
      </c>
      <c r="E11" s="52">
        <v>5534</v>
      </c>
      <c r="F11" s="53">
        <v>23432</v>
      </c>
      <c r="G11" s="36"/>
      <c r="I11" s="154" t="s">
        <v>43</v>
      </c>
      <c r="J11" s="155">
        <v>2456</v>
      </c>
      <c r="K11" s="155">
        <v>5</v>
      </c>
      <c r="L11" s="155">
        <v>667</v>
      </c>
    </row>
    <row r="12" spans="1:24" s="1" customFormat="1" x14ac:dyDescent="0.25">
      <c r="A12"/>
      <c r="B12" s="38" t="s">
        <v>32</v>
      </c>
      <c r="C12" s="39" t="s">
        <v>31</v>
      </c>
      <c r="D12" s="40">
        <v>333</v>
      </c>
      <c r="E12" s="41">
        <v>223</v>
      </c>
      <c r="F12" s="42">
        <v>432</v>
      </c>
      <c r="G12" s="36"/>
      <c r="H12"/>
      <c r="I12" s="154" t="s">
        <v>32</v>
      </c>
      <c r="J12" s="155">
        <v>333</v>
      </c>
      <c r="K12" s="155">
        <v>223</v>
      </c>
      <c r="L12" s="155">
        <v>432</v>
      </c>
      <c r="M12"/>
      <c r="N12"/>
      <c r="O12"/>
      <c r="P12"/>
      <c r="Q12"/>
      <c r="R12"/>
      <c r="S12"/>
      <c r="T12"/>
      <c r="U12"/>
      <c r="V12"/>
    </row>
    <row r="13" spans="1:24" s="1" customFormat="1" x14ac:dyDescent="0.25">
      <c r="A13"/>
      <c r="B13" s="38" t="s">
        <v>33</v>
      </c>
      <c r="C13" s="39" t="s">
        <v>31</v>
      </c>
      <c r="D13" s="40">
        <v>3235</v>
      </c>
      <c r="E13" s="41">
        <v>2</v>
      </c>
      <c r="F13" s="42">
        <v>32</v>
      </c>
      <c r="G13" s="36"/>
      <c r="H13"/>
      <c r="I13" s="154" t="s">
        <v>44</v>
      </c>
      <c r="J13" s="155">
        <v>322</v>
      </c>
      <c r="K13" s="155">
        <v>6</v>
      </c>
      <c r="L13" s="155">
        <v>4346</v>
      </c>
      <c r="M13"/>
      <c r="N13"/>
      <c r="O13"/>
      <c r="P13"/>
      <c r="Q13"/>
      <c r="R13"/>
      <c r="S13"/>
      <c r="T13"/>
      <c r="U13"/>
      <c r="V13"/>
    </row>
    <row r="14" spans="1:24" s="1" customFormat="1" x14ac:dyDescent="0.25">
      <c r="A14"/>
      <c r="B14" s="38" t="s">
        <v>34</v>
      </c>
      <c r="C14" s="39" t="s">
        <v>31</v>
      </c>
      <c r="D14" s="40">
        <v>3456</v>
      </c>
      <c r="E14" s="41">
        <v>121</v>
      </c>
      <c r="F14" s="42">
        <v>32</v>
      </c>
      <c r="G14" s="36"/>
      <c r="H14"/>
      <c r="I14" s="154" t="s">
        <v>34</v>
      </c>
      <c r="J14" s="155">
        <v>3456</v>
      </c>
      <c r="K14" s="155">
        <v>121</v>
      </c>
      <c r="L14" s="155">
        <v>32</v>
      </c>
      <c r="M14"/>
      <c r="N14"/>
      <c r="O14"/>
      <c r="P14"/>
      <c r="Q14"/>
      <c r="R14"/>
      <c r="S14"/>
      <c r="T14"/>
      <c r="U14"/>
      <c r="V14"/>
    </row>
    <row r="15" spans="1:24" s="1" customFormat="1" x14ac:dyDescent="0.25">
      <c r="A15"/>
      <c r="B15" s="43" t="s">
        <v>35</v>
      </c>
      <c r="C15" s="39" t="s">
        <v>36</v>
      </c>
      <c r="D15" s="40">
        <v>1234</v>
      </c>
      <c r="E15" s="41">
        <v>5</v>
      </c>
      <c r="F15" s="42">
        <v>32</v>
      </c>
      <c r="G15" s="36"/>
      <c r="H15"/>
      <c r="I15" s="154" t="s">
        <v>30</v>
      </c>
      <c r="J15" s="155">
        <v>456</v>
      </c>
      <c r="K15" s="155">
        <v>5534</v>
      </c>
      <c r="L15" s="155">
        <v>23432</v>
      </c>
      <c r="M15"/>
      <c r="N15"/>
      <c r="O15"/>
      <c r="P15"/>
      <c r="Q15"/>
      <c r="R15"/>
      <c r="S15"/>
      <c r="T15"/>
      <c r="U15"/>
      <c r="V15"/>
    </row>
    <row r="16" spans="1:24" s="1" customFormat="1" x14ac:dyDescent="0.25">
      <c r="A16"/>
      <c r="B16" s="38" t="s">
        <v>37</v>
      </c>
      <c r="C16" s="39" t="s">
        <v>36</v>
      </c>
      <c r="D16" s="40">
        <v>9876</v>
      </c>
      <c r="E16" s="41">
        <v>656</v>
      </c>
      <c r="F16" s="42">
        <v>32</v>
      </c>
      <c r="G16" s="36"/>
      <c r="H16"/>
      <c r="I16" s="154" t="s">
        <v>33</v>
      </c>
      <c r="J16" s="155">
        <v>3235</v>
      </c>
      <c r="K16" s="155">
        <v>2</v>
      </c>
      <c r="L16" s="155">
        <v>32</v>
      </c>
      <c r="M16"/>
      <c r="N16"/>
      <c r="O16"/>
      <c r="P16"/>
      <c r="Q16"/>
      <c r="R16"/>
      <c r="S16"/>
      <c r="T16"/>
      <c r="U16"/>
      <c r="V16"/>
    </row>
    <row r="17" spans="1:12" s="1" customFormat="1" x14ac:dyDescent="0.25">
      <c r="A17"/>
      <c r="B17" s="38" t="s">
        <v>38</v>
      </c>
      <c r="C17" s="39" t="s">
        <v>31</v>
      </c>
      <c r="D17" s="40">
        <v>4656</v>
      </c>
      <c r="E17" s="41">
        <v>4</v>
      </c>
      <c r="F17" s="42">
        <v>1234</v>
      </c>
      <c r="G17" s="36"/>
      <c r="H17"/>
      <c r="I17" s="154" t="s">
        <v>39</v>
      </c>
      <c r="J17" s="155">
        <v>4332</v>
      </c>
      <c r="K17" s="155">
        <v>5</v>
      </c>
      <c r="L17" s="155">
        <v>453</v>
      </c>
    </row>
    <row r="18" spans="1:12" s="1" customFormat="1" x14ac:dyDescent="0.25">
      <c r="A18"/>
      <c r="B18" s="38" t="s">
        <v>39</v>
      </c>
      <c r="C18" s="39" t="s">
        <v>31</v>
      </c>
      <c r="D18" s="40">
        <v>4332</v>
      </c>
      <c r="E18" s="41">
        <v>5</v>
      </c>
      <c r="F18" s="42">
        <v>453</v>
      </c>
      <c r="G18" s="36"/>
      <c r="H18"/>
      <c r="I18" s="154" t="s">
        <v>38</v>
      </c>
      <c r="J18" s="155">
        <v>4656</v>
      </c>
      <c r="K18" s="155">
        <v>4</v>
      </c>
      <c r="L18" s="155">
        <v>1234</v>
      </c>
    </row>
    <row r="19" spans="1:12" s="1" customFormat="1" x14ac:dyDescent="0.25">
      <c r="A19"/>
      <c r="B19" s="38" t="s">
        <v>40</v>
      </c>
      <c r="C19" s="39" t="s">
        <v>31</v>
      </c>
      <c r="D19" s="40">
        <v>455</v>
      </c>
      <c r="E19" s="41">
        <v>4</v>
      </c>
      <c r="F19" s="42">
        <v>24</v>
      </c>
      <c r="G19" s="36"/>
      <c r="H19"/>
      <c r="I19" s="154" t="s">
        <v>42</v>
      </c>
      <c r="J19" s="155">
        <v>234</v>
      </c>
      <c r="K19" s="155">
        <v>5</v>
      </c>
      <c r="L19" s="155">
        <v>543</v>
      </c>
    </row>
    <row r="20" spans="1:12" s="1" customFormat="1" x14ac:dyDescent="0.25">
      <c r="A20"/>
      <c r="B20" s="38" t="s">
        <v>41</v>
      </c>
      <c r="C20" s="39" t="s">
        <v>31</v>
      </c>
      <c r="D20" s="40">
        <v>21</v>
      </c>
      <c r="E20" s="41">
        <v>54</v>
      </c>
      <c r="F20" s="42">
        <v>543</v>
      </c>
      <c r="G20" s="36"/>
      <c r="H20"/>
      <c r="I20" s="154" t="s">
        <v>41</v>
      </c>
      <c r="J20" s="155">
        <v>21</v>
      </c>
      <c r="K20" s="155">
        <v>54</v>
      </c>
      <c r="L20" s="155">
        <v>543</v>
      </c>
    </row>
    <row r="21" spans="1:12" s="1" customFormat="1" x14ac:dyDescent="0.25">
      <c r="A21"/>
      <c r="B21" s="38" t="s">
        <v>42</v>
      </c>
      <c r="C21" s="39" t="s">
        <v>31</v>
      </c>
      <c r="D21" s="40">
        <v>234</v>
      </c>
      <c r="E21" s="41">
        <v>5</v>
      </c>
      <c r="F21" s="42">
        <v>543</v>
      </c>
      <c r="G21" s="36"/>
      <c r="H21"/>
      <c r="I21" s="154" t="s">
        <v>35</v>
      </c>
      <c r="J21" s="155">
        <v>1234</v>
      </c>
      <c r="K21" s="155">
        <v>5</v>
      </c>
      <c r="L21" s="155">
        <v>32</v>
      </c>
    </row>
    <row r="22" spans="1:12" s="1" customFormat="1" x14ac:dyDescent="0.25">
      <c r="A22"/>
      <c r="B22" s="38" t="s">
        <v>43</v>
      </c>
      <c r="C22" s="39" t="s">
        <v>31</v>
      </c>
      <c r="D22" s="40">
        <v>2456</v>
      </c>
      <c r="E22" s="41">
        <v>5</v>
      </c>
      <c r="F22" s="42">
        <v>667</v>
      </c>
      <c r="G22" s="36"/>
      <c r="H22"/>
      <c r="I22" s="154" t="s">
        <v>40</v>
      </c>
      <c r="J22" s="155">
        <v>455</v>
      </c>
      <c r="K22" s="155">
        <v>4</v>
      </c>
      <c r="L22" s="155">
        <v>24</v>
      </c>
    </row>
    <row r="23" spans="1:12" s="1" customFormat="1" x14ac:dyDescent="0.25">
      <c r="A23"/>
      <c r="B23" s="38" t="s">
        <v>44</v>
      </c>
      <c r="C23" s="39" t="s">
        <v>45</v>
      </c>
      <c r="D23" s="40">
        <v>322</v>
      </c>
      <c r="E23" s="41">
        <v>6</v>
      </c>
      <c r="F23" s="42">
        <v>4346</v>
      </c>
      <c r="G23" s="36"/>
      <c r="H23"/>
      <c r="I23" s="154" t="s">
        <v>37</v>
      </c>
      <c r="J23" s="155">
        <v>9876</v>
      </c>
      <c r="K23" s="155">
        <v>656</v>
      </c>
      <c r="L23" s="155">
        <v>32</v>
      </c>
    </row>
    <row r="24" spans="1:12" s="1" customFormat="1" ht="15.75" thickBot="1" x14ac:dyDescent="0.3">
      <c r="A24"/>
      <c r="B24" s="44" t="s">
        <v>46</v>
      </c>
      <c r="C24" s="45" t="s">
        <v>36</v>
      </c>
      <c r="D24" s="46">
        <v>122</v>
      </c>
      <c r="E24" s="47">
        <v>78</v>
      </c>
      <c r="F24" s="48">
        <v>3322</v>
      </c>
      <c r="G24" s="36"/>
      <c r="H24"/>
      <c r="I24" s="154" t="s">
        <v>46</v>
      </c>
      <c r="J24" s="155">
        <v>122</v>
      </c>
      <c r="K24" s="155">
        <v>78</v>
      </c>
      <c r="L24" s="155">
        <v>3322</v>
      </c>
    </row>
    <row r="25" spans="1:12" s="1" customFormat="1" x14ac:dyDescent="0.25">
      <c r="A25"/>
      <c r="B25" s="32"/>
      <c r="C25" s="33"/>
      <c r="D25" s="34"/>
      <c r="F25" s="37"/>
      <c r="G25" s="36"/>
      <c r="H25"/>
      <c r="I25" s="152" t="s">
        <v>168</v>
      </c>
      <c r="J25" s="153">
        <v>31188</v>
      </c>
      <c r="K25" s="153">
        <v>6702</v>
      </c>
      <c r="L25" s="153">
        <v>35124</v>
      </c>
    </row>
    <row r="26" spans="1:12" s="1" customFormat="1" x14ac:dyDescent="0.25">
      <c r="A26"/>
      <c r="B26" s="32"/>
      <c r="C26" s="33"/>
      <c r="D26" s="34"/>
      <c r="F26" s="37"/>
      <c r="G26" s="36"/>
      <c r="H26"/>
      <c r="I26"/>
      <c r="J26"/>
      <c r="K26"/>
      <c r="L26"/>
    </row>
    <row r="27" spans="1:12" s="1" customFormat="1" x14ac:dyDescent="0.25">
      <c r="A27"/>
      <c r="B27" s="32"/>
      <c r="C27" s="33"/>
      <c r="D27" s="34"/>
      <c r="F27" s="37"/>
      <c r="G27" s="36"/>
      <c r="H27"/>
      <c r="I27"/>
      <c r="J27"/>
      <c r="K27"/>
      <c r="L27"/>
    </row>
    <row r="28" spans="1:12" s="1" customFormat="1" x14ac:dyDescent="0.25">
      <c r="A28"/>
      <c r="B28" s="32"/>
      <c r="C28" s="33"/>
      <c r="D28" s="34"/>
      <c r="F28"/>
      <c r="G28"/>
      <c r="H28"/>
      <c r="I28"/>
      <c r="J28"/>
      <c r="K28"/>
      <c r="L28"/>
    </row>
    <row r="29" spans="1:12" s="1" customFormat="1" x14ac:dyDescent="0.25">
      <c r="A29"/>
      <c r="B29" s="32"/>
      <c r="C29" s="33"/>
      <c r="D29" s="34"/>
      <c r="I29"/>
      <c r="J29"/>
      <c r="K29"/>
      <c r="L29"/>
    </row>
    <row r="30" spans="1:12" s="1" customFormat="1" x14ac:dyDescent="0.25">
      <c r="A30"/>
      <c r="B30" s="32"/>
      <c r="C30" s="33"/>
      <c r="D30" s="34"/>
      <c r="I30"/>
      <c r="J30"/>
      <c r="K30"/>
      <c r="L30"/>
    </row>
    <row r="31" spans="1:12" s="1" customFormat="1" x14ac:dyDescent="0.25">
      <c r="A31"/>
      <c r="B31" s="32"/>
      <c r="C31" s="33"/>
      <c r="D31" s="34"/>
      <c r="I31"/>
      <c r="J31"/>
      <c r="K31"/>
      <c r="L31"/>
    </row>
    <row r="32" spans="1:12" s="1" customFormat="1" x14ac:dyDescent="0.25">
      <c r="A32"/>
      <c r="B32" s="32"/>
      <c r="C32" s="33"/>
      <c r="D32" s="34"/>
      <c r="I32"/>
      <c r="J32"/>
      <c r="K32"/>
      <c r="L32"/>
    </row>
    <row r="33" spans="1:12" s="1" customFormat="1" x14ac:dyDescent="0.25">
      <c r="A33"/>
      <c r="B33" s="32"/>
      <c r="C33" s="33"/>
      <c r="D33" s="34"/>
      <c r="I33"/>
      <c r="J33"/>
      <c r="K33"/>
      <c r="L33"/>
    </row>
    <row r="34" spans="1:12" s="1" customFormat="1" x14ac:dyDescent="0.25">
      <c r="B34" s="32"/>
      <c r="C34" s="33"/>
      <c r="D34" s="34"/>
      <c r="I34"/>
      <c r="J34"/>
      <c r="K34"/>
      <c r="L34"/>
    </row>
    <row r="35" spans="1:12" s="1" customFormat="1" x14ac:dyDescent="0.25">
      <c r="B35" s="32"/>
      <c r="C35" s="33"/>
      <c r="D35" s="34"/>
      <c r="I35"/>
      <c r="J35"/>
      <c r="K35"/>
      <c r="L35"/>
    </row>
    <row r="36" spans="1:12" s="1" customFormat="1" x14ac:dyDescent="0.25">
      <c r="B36" s="32"/>
      <c r="C36" s="33"/>
      <c r="D36" s="34"/>
      <c r="I36"/>
      <c r="J36"/>
      <c r="K36"/>
      <c r="L36"/>
    </row>
    <row r="37" spans="1:12" s="1" customFormat="1" x14ac:dyDescent="0.25">
      <c r="B37" s="32"/>
      <c r="C37" s="33"/>
      <c r="D37" s="34"/>
      <c r="I37"/>
      <c r="J37"/>
      <c r="K37"/>
      <c r="L37"/>
    </row>
    <row r="38" spans="1:12" s="1" customFormat="1" x14ac:dyDescent="0.25">
      <c r="B38" s="32"/>
      <c r="C38" s="33"/>
      <c r="D38" s="34"/>
      <c r="I38"/>
      <c r="J38"/>
      <c r="K38"/>
      <c r="L38"/>
    </row>
    <row r="39" spans="1:12" x14ac:dyDescent="0.25">
      <c r="B39" s="32"/>
      <c r="C39" s="33"/>
      <c r="D39" s="34"/>
    </row>
    <row r="40" spans="1:12" x14ac:dyDescent="0.25">
      <c r="B40" s="32"/>
      <c r="C40" s="33"/>
      <c r="D40" s="35"/>
    </row>
    <row r="41" spans="1:12" x14ac:dyDescent="0.25">
      <c r="B41" s="32"/>
      <c r="C41" s="33"/>
      <c r="D41" s="34"/>
    </row>
    <row r="42" spans="1:12" x14ac:dyDescent="0.25">
      <c r="B42" s="32"/>
      <c r="C42" s="33"/>
      <c r="D42" s="34"/>
    </row>
    <row r="43" spans="1:12" x14ac:dyDescent="0.25">
      <c r="B43" s="32"/>
      <c r="C43" s="33"/>
      <c r="D43" s="34"/>
    </row>
    <row r="44" spans="1:12" x14ac:dyDescent="0.25">
      <c r="B44" s="32"/>
      <c r="C44" s="33"/>
      <c r="D44" s="34"/>
    </row>
    <row r="45" spans="1:12" x14ac:dyDescent="0.25">
      <c r="B45" s="32"/>
      <c r="C45" s="33"/>
      <c r="D45" s="34"/>
    </row>
    <row r="46" spans="1:12" x14ac:dyDescent="0.25">
      <c r="B46" s="32"/>
      <c r="C46" s="33"/>
      <c r="D46" s="34"/>
    </row>
    <row r="47" spans="1:12" x14ac:dyDescent="0.25">
      <c r="B47" s="32"/>
      <c r="C47" s="33"/>
      <c r="D47" s="34"/>
    </row>
    <row r="48" spans="1:12" x14ac:dyDescent="0.25">
      <c r="B48" s="32"/>
      <c r="C48" s="33"/>
      <c r="D48" s="34"/>
    </row>
    <row r="49" spans="2:4" x14ac:dyDescent="0.25">
      <c r="B49" s="32"/>
      <c r="C49" s="33"/>
      <c r="D49" s="34"/>
    </row>
    <row r="50" spans="2:4" x14ac:dyDescent="0.25">
      <c r="B50" s="32"/>
      <c r="C50" s="33"/>
      <c r="D50" s="34"/>
    </row>
    <row r="51" spans="2:4" x14ac:dyDescent="0.25">
      <c r="B51" s="32"/>
      <c r="C51" s="33"/>
      <c r="D51" s="34"/>
    </row>
    <row r="52" spans="2:4" x14ac:dyDescent="0.25">
      <c r="B52" s="32"/>
      <c r="C52" s="33"/>
      <c r="D52" s="34"/>
    </row>
    <row r="53" spans="2:4" x14ac:dyDescent="0.25">
      <c r="B53" s="32"/>
      <c r="C53" s="33"/>
      <c r="D53" s="34"/>
    </row>
    <row r="54" spans="2:4" x14ac:dyDescent="0.25">
      <c r="B54" s="32"/>
      <c r="C54" s="33"/>
      <c r="D54" s="34"/>
    </row>
    <row r="55" spans="2:4" x14ac:dyDescent="0.25">
      <c r="B55" s="32"/>
      <c r="C55" s="33"/>
      <c r="D55" s="34"/>
    </row>
    <row r="56" spans="2:4" x14ac:dyDescent="0.25">
      <c r="B56" s="32"/>
      <c r="C56" s="33"/>
      <c r="D56" s="34"/>
    </row>
    <row r="57" spans="2:4" x14ac:dyDescent="0.25">
      <c r="B57" s="32"/>
      <c r="C57" s="33"/>
      <c r="D57" s="34"/>
    </row>
    <row r="58" spans="2:4" x14ac:dyDescent="0.25">
      <c r="B58" s="32"/>
      <c r="C58" s="33"/>
      <c r="D58" s="34"/>
    </row>
    <row r="59" spans="2:4" x14ac:dyDescent="0.25">
      <c r="B59" s="32"/>
      <c r="C59" s="33"/>
      <c r="D59" s="34"/>
    </row>
    <row r="60" spans="2:4" x14ac:dyDescent="0.25">
      <c r="B60" s="32"/>
      <c r="C60" s="33"/>
      <c r="D60" s="34"/>
    </row>
    <row r="61" spans="2:4" x14ac:dyDescent="0.25">
      <c r="B61" s="32"/>
      <c r="C61" s="33"/>
      <c r="D61" s="34"/>
    </row>
    <row r="62" spans="2:4" x14ac:dyDescent="0.25">
      <c r="B62" s="32"/>
      <c r="C62" s="33"/>
      <c r="D62" s="34"/>
    </row>
    <row r="63" spans="2:4" x14ac:dyDescent="0.25">
      <c r="B63" s="32"/>
      <c r="C63" s="33"/>
      <c r="D63" s="34"/>
    </row>
    <row r="64" spans="2:4" x14ac:dyDescent="0.25">
      <c r="B64" s="32"/>
      <c r="C64" s="33"/>
      <c r="D64" s="34"/>
    </row>
    <row r="65" spans="2:4" x14ac:dyDescent="0.25">
      <c r="B65" s="32"/>
      <c r="C65" s="33"/>
      <c r="D65" s="34"/>
    </row>
    <row r="66" spans="2:4" x14ac:dyDescent="0.25">
      <c r="B66" s="32"/>
      <c r="C66" s="33"/>
      <c r="D66" s="34"/>
    </row>
    <row r="67" spans="2:4" x14ac:dyDescent="0.25">
      <c r="B67" s="32"/>
      <c r="C67" s="33"/>
      <c r="D67" s="34"/>
    </row>
    <row r="68" spans="2:4" x14ac:dyDescent="0.25">
      <c r="B68" s="32"/>
      <c r="C68" s="33"/>
      <c r="D68" s="34"/>
    </row>
    <row r="69" spans="2:4" x14ac:dyDescent="0.25">
      <c r="B69" s="32"/>
      <c r="C69" s="33"/>
      <c r="D69" s="34"/>
    </row>
    <row r="70" spans="2:4" x14ac:dyDescent="0.25">
      <c r="B70" s="32"/>
      <c r="C70" s="33"/>
      <c r="D70" s="34"/>
    </row>
    <row r="71" spans="2:4" x14ac:dyDescent="0.25">
      <c r="B71" s="32"/>
      <c r="C71" s="33"/>
      <c r="D71" s="34"/>
    </row>
    <row r="72" spans="2:4" x14ac:dyDescent="0.25">
      <c r="B72" s="32"/>
      <c r="C72" s="33"/>
      <c r="D72" s="34"/>
    </row>
    <row r="73" spans="2:4" x14ac:dyDescent="0.25">
      <c r="B73" s="32"/>
      <c r="C73" s="33"/>
      <c r="D73" s="34"/>
    </row>
    <row r="74" spans="2:4" x14ac:dyDescent="0.25">
      <c r="B74" s="32"/>
      <c r="C74" s="33"/>
      <c r="D74" s="34"/>
    </row>
    <row r="75" spans="2:4" x14ac:dyDescent="0.25">
      <c r="B75" s="32"/>
      <c r="C75" s="33"/>
      <c r="D75" s="34"/>
    </row>
    <row r="76" spans="2:4" x14ac:dyDescent="0.25">
      <c r="B76" s="32"/>
      <c r="C76" s="33"/>
      <c r="D76" s="34"/>
    </row>
    <row r="77" spans="2:4" x14ac:dyDescent="0.25">
      <c r="B77" s="32"/>
      <c r="C77" s="33"/>
      <c r="D77" s="34"/>
    </row>
    <row r="78" spans="2:4" x14ac:dyDescent="0.25">
      <c r="B78" s="32"/>
      <c r="C78" s="33"/>
      <c r="D78" s="34"/>
    </row>
    <row r="79" spans="2:4" x14ac:dyDescent="0.25">
      <c r="B79" s="32"/>
      <c r="C79" s="33"/>
      <c r="D79" s="34"/>
    </row>
    <row r="80" spans="2:4" x14ac:dyDescent="0.25">
      <c r="B80" s="32"/>
      <c r="C80" s="33"/>
      <c r="D80" s="34"/>
    </row>
    <row r="81" spans="2:4" x14ac:dyDescent="0.25">
      <c r="B81" s="32"/>
      <c r="C81" s="33"/>
      <c r="D81" s="34"/>
    </row>
    <row r="82" spans="2:4" x14ac:dyDescent="0.25">
      <c r="B82" s="32"/>
      <c r="C82" s="33"/>
      <c r="D82" s="35"/>
    </row>
    <row r="83" spans="2:4" x14ac:dyDescent="0.25">
      <c r="B83" s="32"/>
      <c r="C83" s="33"/>
      <c r="D83" s="35"/>
    </row>
    <row r="84" spans="2:4" x14ac:dyDescent="0.25">
      <c r="B84" s="32"/>
      <c r="C84" s="33"/>
      <c r="D84" s="34"/>
    </row>
    <row r="85" spans="2:4" x14ac:dyDescent="0.25">
      <c r="B85" s="32"/>
      <c r="C85" s="33"/>
      <c r="D85" s="34"/>
    </row>
    <row r="86" spans="2:4" x14ac:dyDescent="0.25">
      <c r="B86" s="32"/>
      <c r="C86" s="33"/>
      <c r="D86" s="34"/>
    </row>
    <row r="87" spans="2:4" x14ac:dyDescent="0.25">
      <c r="B87" s="32"/>
      <c r="C87" s="33"/>
      <c r="D87" s="34"/>
    </row>
    <row r="88" spans="2:4" x14ac:dyDescent="0.25">
      <c r="B88" s="32"/>
      <c r="C88" s="33"/>
      <c r="D88" s="34"/>
    </row>
    <row r="89" spans="2:4" x14ac:dyDescent="0.25">
      <c r="B89" s="32"/>
      <c r="C89" s="33"/>
      <c r="D89" s="34"/>
    </row>
    <row r="90" spans="2:4" x14ac:dyDescent="0.25">
      <c r="B90" s="32"/>
      <c r="C90" s="33"/>
      <c r="D90" s="34"/>
    </row>
    <row r="91" spans="2:4" x14ac:dyDescent="0.25">
      <c r="B91" s="32"/>
      <c r="C91" s="33"/>
      <c r="D91" s="34"/>
    </row>
    <row r="92" spans="2:4" x14ac:dyDescent="0.25">
      <c r="B92" s="32"/>
      <c r="C92" s="33"/>
      <c r="D92" s="34"/>
    </row>
    <row r="93" spans="2:4" x14ac:dyDescent="0.25">
      <c r="B93" s="32"/>
      <c r="C93" s="33"/>
      <c r="D93" s="34"/>
    </row>
    <row r="94" spans="2:4" x14ac:dyDescent="0.25">
      <c r="B94" s="32"/>
      <c r="C94" s="33"/>
      <c r="D94" s="34"/>
    </row>
    <row r="95" spans="2:4" x14ac:dyDescent="0.25">
      <c r="B95" s="32"/>
      <c r="C95" s="33"/>
      <c r="D95" s="35"/>
    </row>
    <row r="96" spans="2:4" x14ac:dyDescent="0.25">
      <c r="B96" s="32"/>
      <c r="C96" s="33"/>
      <c r="D96" s="35"/>
    </row>
    <row r="97" spans="2:28" x14ac:dyDescent="0.25">
      <c r="B97" s="32"/>
      <c r="C97" s="33"/>
      <c r="D97" s="35"/>
    </row>
    <row r="98" spans="2:28" x14ac:dyDescent="0.25">
      <c r="B98" s="32"/>
      <c r="C98" s="33"/>
      <c r="D98" s="34"/>
    </row>
    <row r="99" spans="2:28" x14ac:dyDescent="0.25">
      <c r="B99" s="32"/>
      <c r="C99" s="33"/>
      <c r="D99" s="34"/>
    </row>
    <row r="100" spans="2:28" x14ac:dyDescent="0.25">
      <c r="B100" s="32"/>
      <c r="C100" s="33"/>
      <c r="D100" s="34"/>
      <c r="Z100" s="24" t="s">
        <v>48</v>
      </c>
      <c r="AA100"/>
      <c r="AB100"/>
    </row>
    <row r="101" spans="2:28" x14ac:dyDescent="0.25">
      <c r="B101" s="32"/>
      <c r="C101" s="33"/>
      <c r="D101" s="34"/>
      <c r="Z101" s="24" t="s">
        <v>22</v>
      </c>
      <c r="AA101"/>
      <c r="AB101"/>
    </row>
    <row r="102" spans="2:28" x14ac:dyDescent="0.25">
      <c r="B102" s="32"/>
      <c r="C102" s="33"/>
      <c r="D102" s="34"/>
    </row>
    <row r="103" spans="2:28" x14ac:dyDescent="0.25">
      <c r="B103" s="32"/>
      <c r="C103" s="33"/>
      <c r="D103" s="34"/>
    </row>
    <row r="104" spans="2:28" x14ac:dyDescent="0.25">
      <c r="B104" s="32"/>
      <c r="C104" s="33"/>
      <c r="D104" s="34"/>
    </row>
    <row r="105" spans="2:28" x14ac:dyDescent="0.25">
      <c r="B105" s="32"/>
      <c r="C105" s="33"/>
      <c r="D105" s="34"/>
    </row>
    <row r="106" spans="2:28" x14ac:dyDescent="0.25">
      <c r="B106" s="32"/>
      <c r="C106" s="33"/>
      <c r="D106" s="34"/>
    </row>
    <row r="107" spans="2:28" x14ac:dyDescent="0.25">
      <c r="B107" s="32"/>
      <c r="C107" s="33"/>
      <c r="D107" s="34"/>
    </row>
    <row r="108" spans="2:28" x14ac:dyDescent="0.25">
      <c r="B108" s="32"/>
      <c r="C108" s="33"/>
      <c r="D108" s="34"/>
    </row>
    <row r="109" spans="2:28" x14ac:dyDescent="0.25">
      <c r="B109" s="32"/>
      <c r="C109" s="33"/>
      <c r="D109" s="34"/>
    </row>
    <row r="110" spans="2:28" x14ac:dyDescent="0.25">
      <c r="B110" s="32"/>
      <c r="C110" s="33"/>
      <c r="D110" s="34"/>
    </row>
    <row r="111" spans="2:28" x14ac:dyDescent="0.25">
      <c r="B111" s="32"/>
      <c r="C111" s="33"/>
      <c r="D111" s="34"/>
    </row>
    <row r="112" spans="2:28" x14ac:dyDescent="0.25">
      <c r="B112" s="32"/>
      <c r="C112" s="33"/>
      <c r="D112" s="34"/>
    </row>
    <row r="113" spans="2:4" x14ac:dyDescent="0.25">
      <c r="B113" s="32"/>
      <c r="C113" s="33"/>
      <c r="D113" s="34"/>
    </row>
    <row r="114" spans="2:4" x14ac:dyDescent="0.25">
      <c r="B114" s="32"/>
      <c r="C114" s="33"/>
      <c r="D114" s="34"/>
    </row>
    <row r="115" spans="2:4" x14ac:dyDescent="0.25">
      <c r="B115" s="32"/>
      <c r="C115" s="33"/>
      <c r="D115" s="34"/>
    </row>
    <row r="116" spans="2:4" x14ac:dyDescent="0.25">
      <c r="B116" s="32"/>
      <c r="C116" s="33"/>
      <c r="D116" s="34"/>
    </row>
    <row r="117" spans="2:4" x14ac:dyDescent="0.25">
      <c r="B117" s="32"/>
      <c r="C117" s="33"/>
      <c r="D117" s="35"/>
    </row>
    <row r="118" spans="2:4" x14ac:dyDescent="0.25">
      <c r="B118" s="32"/>
      <c r="C118" s="33"/>
      <c r="D118" s="34"/>
    </row>
    <row r="119" spans="2:4" x14ac:dyDescent="0.25">
      <c r="B119" s="32"/>
      <c r="C119" s="33"/>
      <c r="D119" s="34"/>
    </row>
    <row r="120" spans="2:4" x14ac:dyDescent="0.25">
      <c r="B120" s="32"/>
      <c r="C120" s="33"/>
      <c r="D120" s="34"/>
    </row>
    <row r="121" spans="2:4" x14ac:dyDescent="0.25">
      <c r="B121" s="32"/>
      <c r="C121" s="33"/>
      <c r="D121" s="34"/>
    </row>
    <row r="122" spans="2:4" x14ac:dyDescent="0.25">
      <c r="B122" s="32"/>
      <c r="C122" s="33"/>
      <c r="D122" s="34"/>
    </row>
    <row r="123" spans="2:4" x14ac:dyDescent="0.25">
      <c r="B123" s="32"/>
      <c r="C123" s="33"/>
      <c r="D123" s="34"/>
    </row>
    <row r="124" spans="2:4" x14ac:dyDescent="0.25">
      <c r="B124" s="32"/>
      <c r="C124" s="33"/>
      <c r="D124" s="34"/>
    </row>
    <row r="125" spans="2:4" x14ac:dyDescent="0.25">
      <c r="B125" s="32"/>
      <c r="C125" s="33"/>
      <c r="D125" s="34"/>
    </row>
  </sheetData>
  <mergeCells count="2">
    <mergeCell ref="F9:G9"/>
    <mergeCell ref="B8:H8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picture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planilhaAnterior">
                <anchor moveWithCells="1" sizeWithCells="1">
                  <from>
                    <xdr:col>8</xdr:col>
                    <xdr:colOff>47625</xdr:colOff>
                    <xdr:row>1</xdr:row>
                    <xdr:rowOff>104775</xdr:rowOff>
                  </from>
                  <to>
                    <xdr:col>8</xdr:col>
                    <xdr:colOff>1400175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/>
  <dimension ref="A3:AC125"/>
  <sheetViews>
    <sheetView showGridLines="0" zoomScaleNormal="100" workbookViewId="0">
      <selection activeCell="J2" sqref="J2"/>
    </sheetView>
  </sheetViews>
  <sheetFormatPr defaultRowHeight="15" x14ac:dyDescent="0.25"/>
  <cols>
    <col min="1" max="1" width="5.5703125" customWidth="1"/>
    <col min="2" max="2" width="13" customWidth="1"/>
    <col min="3" max="3" width="24.7109375" customWidth="1"/>
    <col min="4" max="4" width="5" customWidth="1"/>
    <col min="5" max="5" width="13.42578125" customWidth="1"/>
    <col min="6" max="6" width="26.42578125" customWidth="1"/>
    <col min="7" max="7" width="6.140625" customWidth="1"/>
    <col min="8" max="8" width="24.28515625" customWidth="1"/>
    <col min="15" max="15" width="11.85546875" customWidth="1"/>
    <col min="25" max="28" width="9.140625" style="1"/>
    <col min="29" max="29" width="10.28515625" style="1" customWidth="1"/>
  </cols>
  <sheetData>
    <row r="3" spans="1:24" s="1" customFormat="1" ht="15" customHeight="1" x14ac:dyDescent="0.25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 x14ac:dyDescent="0.3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x14ac:dyDescent="0.25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.75" thickBot="1" x14ac:dyDescent="0.3"/>
    <row r="8" spans="1:24" ht="21" thickBot="1" x14ac:dyDescent="0.35">
      <c r="B8" s="234" t="s">
        <v>66</v>
      </c>
      <c r="C8" s="235"/>
      <c r="D8" s="235"/>
      <c r="E8" s="235"/>
      <c r="F8" s="235"/>
      <c r="G8" s="235"/>
      <c r="H8" s="236"/>
    </row>
    <row r="9" spans="1:24" ht="12.75" customHeight="1" thickBot="1" x14ac:dyDescent="0.3">
      <c r="C9" s="5"/>
      <c r="F9" s="237"/>
      <c r="G9" s="237"/>
    </row>
    <row r="10" spans="1:24" ht="15.75" thickBot="1" x14ac:dyDescent="0.3">
      <c r="B10" s="238" t="s">
        <v>67</v>
      </c>
      <c r="C10" s="239"/>
      <c r="D10" s="62"/>
      <c r="E10" s="238" t="s">
        <v>68</v>
      </c>
      <c r="F10" s="239"/>
      <c r="G10" s="63"/>
      <c r="H10" s="68" t="s">
        <v>51</v>
      </c>
    </row>
    <row r="11" spans="1:24" ht="15.75" thickBot="1" x14ac:dyDescent="0.3">
      <c r="B11" s="65" t="s">
        <v>52</v>
      </c>
      <c r="C11" s="66" t="s">
        <v>53</v>
      </c>
      <c r="D11" s="64"/>
      <c r="E11" s="65" t="s">
        <v>52</v>
      </c>
      <c r="F11" s="66" t="s">
        <v>53</v>
      </c>
      <c r="G11" s="63"/>
      <c r="H11" s="67" t="s">
        <v>1</v>
      </c>
    </row>
    <row r="12" spans="1:24" s="1" customFormat="1" x14ac:dyDescent="0.25">
      <c r="A12"/>
      <c r="B12" s="69" t="s">
        <v>54</v>
      </c>
      <c r="C12" s="72">
        <v>45678</v>
      </c>
      <c r="D12" s="73"/>
      <c r="E12" s="69" t="s">
        <v>54</v>
      </c>
      <c r="F12" s="72">
        <v>49876</v>
      </c>
      <c r="G12" s="74"/>
      <c r="H12" s="75">
        <v>65000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 x14ac:dyDescent="0.25">
      <c r="A13"/>
      <c r="B13" s="70" t="s">
        <v>55</v>
      </c>
      <c r="C13" s="76">
        <v>66534</v>
      </c>
      <c r="D13" s="73"/>
      <c r="E13" s="70" t="s">
        <v>55</v>
      </c>
      <c r="F13" s="76">
        <v>59043</v>
      </c>
      <c r="G13" s="74"/>
      <c r="H13" s="77">
        <v>45000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 x14ac:dyDescent="0.25">
      <c r="A14"/>
      <c r="B14" s="70" t="s">
        <v>56</v>
      </c>
      <c r="C14" s="76">
        <v>49876</v>
      </c>
      <c r="D14" s="73"/>
      <c r="E14" s="70" t="s">
        <v>56</v>
      </c>
      <c r="F14" s="76">
        <v>53456</v>
      </c>
      <c r="G14" s="74"/>
      <c r="H14" s="77">
        <v>40000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 x14ac:dyDescent="0.25">
      <c r="A15"/>
      <c r="B15" s="70" t="s">
        <v>57</v>
      </c>
      <c r="C15" s="76">
        <v>25678</v>
      </c>
      <c r="D15" s="73"/>
      <c r="E15" s="70" t="s">
        <v>57</v>
      </c>
      <c r="F15" s="76">
        <v>34599</v>
      </c>
      <c r="G15" s="74"/>
      <c r="H15" s="77">
        <v>40000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 x14ac:dyDescent="0.25">
      <c r="A16"/>
      <c r="B16" s="70" t="s">
        <v>58</v>
      </c>
      <c r="C16" s="76">
        <v>12253</v>
      </c>
      <c r="D16" s="73"/>
      <c r="E16" s="70" t="s">
        <v>58</v>
      </c>
      <c r="F16" s="76">
        <v>17234</v>
      </c>
      <c r="G16" s="73"/>
      <c r="H16" s="77">
        <v>30000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8" s="1" customFormat="1" x14ac:dyDescent="0.25">
      <c r="A17"/>
      <c r="B17" s="70" t="s">
        <v>59</v>
      </c>
      <c r="C17" s="76">
        <v>19854</v>
      </c>
      <c r="D17" s="73"/>
      <c r="E17" s="70" t="s">
        <v>59</v>
      </c>
      <c r="F17" s="76">
        <v>28903</v>
      </c>
      <c r="G17" s="73"/>
      <c r="H17" s="77">
        <v>25000</v>
      </c>
    </row>
    <row r="18" spans="1:8" s="1" customFormat="1" x14ac:dyDescent="0.25">
      <c r="A18"/>
      <c r="B18" s="70" t="s">
        <v>60</v>
      </c>
      <c r="C18" s="76">
        <v>76543</v>
      </c>
      <c r="D18" s="73"/>
      <c r="E18" s="70" t="s">
        <v>60</v>
      </c>
      <c r="F18" s="76">
        <v>66321</v>
      </c>
      <c r="G18" s="73"/>
      <c r="H18" s="77">
        <v>60000</v>
      </c>
    </row>
    <row r="19" spans="1:8" s="1" customFormat="1" x14ac:dyDescent="0.25">
      <c r="A19"/>
      <c r="B19" s="70" t="s">
        <v>61</v>
      </c>
      <c r="C19" s="76">
        <v>45329</v>
      </c>
      <c r="D19" s="73"/>
      <c r="E19" s="70" t="s">
        <v>61</v>
      </c>
      <c r="F19" s="76">
        <v>43234</v>
      </c>
      <c r="G19" s="73"/>
      <c r="H19" s="77">
        <v>35000</v>
      </c>
    </row>
    <row r="20" spans="1:8" s="1" customFormat="1" x14ac:dyDescent="0.25">
      <c r="A20"/>
      <c r="B20" s="70" t="s">
        <v>62</v>
      </c>
      <c r="C20" s="76">
        <v>99876</v>
      </c>
      <c r="D20" s="73"/>
      <c r="E20" s="70" t="s">
        <v>62</v>
      </c>
      <c r="F20" s="76">
        <v>87654</v>
      </c>
      <c r="G20" s="73"/>
      <c r="H20" s="77">
        <v>80000</v>
      </c>
    </row>
    <row r="21" spans="1:8" s="1" customFormat="1" x14ac:dyDescent="0.25">
      <c r="A21"/>
      <c r="B21" s="70" t="s">
        <v>63</v>
      </c>
      <c r="C21" s="76">
        <v>66543</v>
      </c>
      <c r="D21" s="73"/>
      <c r="E21" s="70" t="s">
        <v>63</v>
      </c>
      <c r="F21" s="76">
        <v>74987</v>
      </c>
      <c r="G21" s="73"/>
      <c r="H21" s="77">
        <v>80000</v>
      </c>
    </row>
    <row r="22" spans="1:8" s="1" customFormat="1" x14ac:dyDescent="0.25">
      <c r="A22"/>
      <c r="B22" s="70" t="s">
        <v>64</v>
      </c>
      <c r="C22" s="76">
        <v>124345</v>
      </c>
      <c r="D22" s="73"/>
      <c r="E22" s="70" t="s">
        <v>64</v>
      </c>
      <c r="F22" s="76">
        <v>144567</v>
      </c>
      <c r="G22" s="73"/>
      <c r="H22" s="77">
        <v>150000</v>
      </c>
    </row>
    <row r="23" spans="1:8" s="1" customFormat="1" ht="15.75" thickBot="1" x14ac:dyDescent="0.3">
      <c r="A23"/>
      <c r="B23" s="71" t="s">
        <v>65</v>
      </c>
      <c r="C23" s="78">
        <v>189773</v>
      </c>
      <c r="D23" s="73"/>
      <c r="E23" s="71" t="s">
        <v>65</v>
      </c>
      <c r="F23" s="78">
        <v>175876</v>
      </c>
      <c r="G23" s="73"/>
      <c r="H23" s="79">
        <v>180000</v>
      </c>
    </row>
    <row r="24" spans="1:8" s="1" customFormat="1" x14ac:dyDescent="0.25">
      <c r="A24"/>
      <c r="B24" s="61"/>
      <c r="C24" s="58"/>
      <c r="D24" s="59"/>
      <c r="E24" s="60"/>
      <c r="F24" s="60"/>
      <c r="G24" s="36"/>
      <c r="H24"/>
    </row>
    <row r="25" spans="1:8" s="1" customFormat="1" x14ac:dyDescent="0.25">
      <c r="A25"/>
      <c r="B25" s="32"/>
      <c r="C25" s="33"/>
      <c r="D25" s="34"/>
      <c r="F25" s="37"/>
      <c r="G25" s="36"/>
      <c r="H25"/>
    </row>
    <row r="26" spans="1:8" s="1" customFormat="1" x14ac:dyDescent="0.25">
      <c r="A26"/>
      <c r="B26" s="32"/>
      <c r="C26" s="33"/>
      <c r="D26" s="34"/>
      <c r="F26" s="37"/>
      <c r="G26" s="36"/>
      <c r="H26"/>
    </row>
    <row r="27" spans="1:8" s="1" customFormat="1" x14ac:dyDescent="0.25">
      <c r="A27"/>
      <c r="B27" s="32"/>
      <c r="C27" s="33"/>
      <c r="D27" s="34"/>
      <c r="F27" s="37"/>
      <c r="G27" s="36"/>
      <c r="H27"/>
    </row>
    <row r="28" spans="1:8" s="1" customFormat="1" x14ac:dyDescent="0.25">
      <c r="A28"/>
      <c r="B28" s="32"/>
      <c r="C28" s="33"/>
      <c r="D28" s="34"/>
      <c r="F28"/>
      <c r="G28"/>
      <c r="H28"/>
    </row>
    <row r="29" spans="1:8" s="1" customFormat="1" x14ac:dyDescent="0.25">
      <c r="A29"/>
      <c r="B29" s="32"/>
      <c r="C29" s="33"/>
      <c r="D29" s="34"/>
    </row>
    <row r="30" spans="1:8" s="1" customFormat="1" x14ac:dyDescent="0.25">
      <c r="A30"/>
      <c r="B30" s="32"/>
      <c r="C30" s="33"/>
      <c r="D30" s="34"/>
    </row>
    <row r="31" spans="1:8" s="1" customFormat="1" x14ac:dyDescent="0.25">
      <c r="A31"/>
      <c r="B31" s="32"/>
      <c r="C31" s="33"/>
      <c r="D31" s="34"/>
    </row>
    <row r="32" spans="1:8" s="1" customFormat="1" x14ac:dyDescent="0.25">
      <c r="A32"/>
      <c r="B32" s="32"/>
      <c r="C32" s="33"/>
      <c r="D32" s="34"/>
    </row>
    <row r="33" spans="1:4" s="1" customFormat="1" x14ac:dyDescent="0.25">
      <c r="A33"/>
      <c r="B33" s="32"/>
      <c r="C33" s="33"/>
      <c r="D33" s="34"/>
    </row>
    <row r="34" spans="1:4" s="1" customFormat="1" x14ac:dyDescent="0.25">
      <c r="B34" s="32"/>
      <c r="C34" s="33"/>
      <c r="D34" s="34"/>
    </row>
    <row r="35" spans="1:4" s="1" customFormat="1" x14ac:dyDescent="0.25">
      <c r="B35" s="32"/>
      <c r="C35" s="33"/>
      <c r="D35" s="34"/>
    </row>
    <row r="36" spans="1:4" s="1" customFormat="1" x14ac:dyDescent="0.25">
      <c r="B36" s="32"/>
      <c r="C36" s="33"/>
      <c r="D36" s="34"/>
    </row>
    <row r="37" spans="1:4" s="1" customFormat="1" x14ac:dyDescent="0.25">
      <c r="B37" s="32"/>
      <c r="C37" s="33"/>
      <c r="D37" s="34"/>
    </row>
    <row r="38" spans="1:4" s="1" customFormat="1" x14ac:dyDescent="0.25">
      <c r="B38" s="32"/>
      <c r="C38" s="33"/>
      <c r="D38" s="34"/>
    </row>
    <row r="39" spans="1:4" x14ac:dyDescent="0.25">
      <c r="B39" s="32"/>
      <c r="C39" s="33"/>
      <c r="D39" s="34"/>
    </row>
    <row r="40" spans="1:4" x14ac:dyDescent="0.25">
      <c r="B40" s="32"/>
      <c r="C40" s="33"/>
      <c r="D40" s="35"/>
    </row>
    <row r="41" spans="1:4" x14ac:dyDescent="0.25">
      <c r="B41" s="32"/>
      <c r="C41" s="33"/>
      <c r="D41" s="34"/>
    </row>
    <row r="42" spans="1:4" x14ac:dyDescent="0.25">
      <c r="B42" s="32"/>
      <c r="C42" s="33"/>
      <c r="D42" s="34"/>
    </row>
    <row r="43" spans="1:4" x14ac:dyDescent="0.25">
      <c r="B43" s="32"/>
      <c r="C43" s="33"/>
      <c r="D43" s="34"/>
    </row>
    <row r="44" spans="1:4" x14ac:dyDescent="0.25">
      <c r="B44" s="32"/>
      <c r="C44" s="33"/>
      <c r="D44" s="34"/>
    </row>
    <row r="45" spans="1:4" x14ac:dyDescent="0.25">
      <c r="B45" s="32"/>
      <c r="C45" s="33"/>
      <c r="D45" s="34"/>
    </row>
    <row r="46" spans="1:4" x14ac:dyDescent="0.25">
      <c r="B46" s="32"/>
      <c r="C46" s="33"/>
      <c r="D46" s="34"/>
    </row>
    <row r="47" spans="1:4" x14ac:dyDescent="0.25">
      <c r="B47" s="32"/>
      <c r="C47" s="33"/>
      <c r="D47" s="34"/>
    </row>
    <row r="48" spans="1:4" x14ac:dyDescent="0.25">
      <c r="B48" s="32"/>
      <c r="C48" s="33"/>
      <c r="D48" s="34"/>
    </row>
    <row r="49" spans="2:4" x14ac:dyDescent="0.25">
      <c r="B49" s="32"/>
      <c r="C49" s="33"/>
      <c r="D49" s="34"/>
    </row>
    <row r="50" spans="2:4" x14ac:dyDescent="0.25">
      <c r="B50" s="32"/>
      <c r="C50" s="33"/>
      <c r="D50" s="34"/>
    </row>
    <row r="51" spans="2:4" x14ac:dyDescent="0.25">
      <c r="B51" s="32"/>
      <c r="C51" s="33"/>
      <c r="D51" s="34"/>
    </row>
    <row r="52" spans="2:4" x14ac:dyDescent="0.25">
      <c r="B52" s="32"/>
      <c r="C52" s="33"/>
      <c r="D52" s="34"/>
    </row>
    <row r="53" spans="2:4" x14ac:dyDescent="0.25">
      <c r="B53" s="32"/>
      <c r="C53" s="33"/>
      <c r="D53" s="34"/>
    </row>
    <row r="54" spans="2:4" x14ac:dyDescent="0.25">
      <c r="B54" s="32"/>
      <c r="C54" s="33"/>
      <c r="D54" s="34"/>
    </row>
    <row r="55" spans="2:4" x14ac:dyDescent="0.25">
      <c r="B55" s="32"/>
      <c r="C55" s="33"/>
      <c r="D55" s="34"/>
    </row>
    <row r="56" spans="2:4" x14ac:dyDescent="0.25">
      <c r="B56" s="32"/>
      <c r="C56" s="33"/>
      <c r="D56" s="34"/>
    </row>
    <row r="57" spans="2:4" x14ac:dyDescent="0.25">
      <c r="B57" s="32"/>
      <c r="C57" s="33"/>
      <c r="D57" s="34"/>
    </row>
    <row r="58" spans="2:4" x14ac:dyDescent="0.25">
      <c r="B58" s="32"/>
      <c r="C58" s="33"/>
      <c r="D58" s="34"/>
    </row>
    <row r="59" spans="2:4" x14ac:dyDescent="0.25">
      <c r="B59" s="32"/>
      <c r="C59" s="33"/>
      <c r="D59" s="34"/>
    </row>
    <row r="60" spans="2:4" x14ac:dyDescent="0.25">
      <c r="B60" s="32"/>
      <c r="C60" s="33"/>
      <c r="D60" s="34"/>
    </row>
    <row r="61" spans="2:4" x14ac:dyDescent="0.25">
      <c r="B61" s="32"/>
      <c r="C61" s="33"/>
      <c r="D61" s="34"/>
    </row>
    <row r="62" spans="2:4" x14ac:dyDescent="0.25">
      <c r="B62" s="32"/>
      <c r="C62" s="33"/>
      <c r="D62" s="34"/>
    </row>
    <row r="63" spans="2:4" x14ac:dyDescent="0.25">
      <c r="B63" s="32"/>
      <c r="C63" s="33"/>
      <c r="D63" s="34"/>
    </row>
    <row r="64" spans="2:4" x14ac:dyDescent="0.25">
      <c r="B64" s="32"/>
      <c r="C64" s="33"/>
      <c r="D64" s="34"/>
    </row>
    <row r="65" spans="2:4" x14ac:dyDescent="0.25">
      <c r="B65" s="32"/>
      <c r="C65" s="33"/>
      <c r="D65" s="34"/>
    </row>
    <row r="66" spans="2:4" x14ac:dyDescent="0.25">
      <c r="B66" s="32"/>
      <c r="C66" s="33"/>
      <c r="D66" s="34"/>
    </row>
    <row r="67" spans="2:4" x14ac:dyDescent="0.25">
      <c r="B67" s="32"/>
      <c r="C67" s="33"/>
      <c r="D67" s="34"/>
    </row>
    <row r="68" spans="2:4" x14ac:dyDescent="0.25">
      <c r="B68" s="32"/>
      <c r="C68" s="33"/>
      <c r="D68" s="34"/>
    </row>
    <row r="69" spans="2:4" x14ac:dyDescent="0.25">
      <c r="B69" s="32"/>
      <c r="C69" s="33"/>
      <c r="D69" s="34"/>
    </row>
    <row r="70" spans="2:4" x14ac:dyDescent="0.25">
      <c r="B70" s="32"/>
      <c r="C70" s="33"/>
      <c r="D70" s="34"/>
    </row>
    <row r="71" spans="2:4" x14ac:dyDescent="0.25">
      <c r="B71" s="32"/>
      <c r="C71" s="33"/>
      <c r="D71" s="34"/>
    </row>
    <row r="72" spans="2:4" x14ac:dyDescent="0.25">
      <c r="B72" s="32"/>
      <c r="C72" s="33"/>
      <c r="D72" s="34"/>
    </row>
    <row r="73" spans="2:4" x14ac:dyDescent="0.25">
      <c r="B73" s="32"/>
      <c r="C73" s="33"/>
      <c r="D73" s="34"/>
    </row>
    <row r="74" spans="2:4" x14ac:dyDescent="0.25">
      <c r="B74" s="32"/>
      <c r="C74" s="33"/>
      <c r="D74" s="34"/>
    </row>
    <row r="75" spans="2:4" x14ac:dyDescent="0.25">
      <c r="B75" s="32"/>
      <c r="C75" s="33"/>
      <c r="D75" s="34"/>
    </row>
    <row r="76" spans="2:4" x14ac:dyDescent="0.25">
      <c r="B76" s="32"/>
      <c r="C76" s="33"/>
      <c r="D76" s="34"/>
    </row>
    <row r="77" spans="2:4" x14ac:dyDescent="0.25">
      <c r="B77" s="32"/>
      <c r="C77" s="33"/>
      <c r="D77" s="34"/>
    </row>
    <row r="78" spans="2:4" x14ac:dyDescent="0.25">
      <c r="B78" s="32"/>
      <c r="C78" s="33"/>
      <c r="D78" s="34"/>
    </row>
    <row r="79" spans="2:4" x14ac:dyDescent="0.25">
      <c r="B79" s="32"/>
      <c r="C79" s="33"/>
      <c r="D79" s="34"/>
    </row>
    <row r="80" spans="2:4" x14ac:dyDescent="0.25">
      <c r="B80" s="32"/>
      <c r="C80" s="33"/>
      <c r="D80" s="34"/>
    </row>
    <row r="81" spans="2:4" x14ac:dyDescent="0.25">
      <c r="B81" s="32"/>
      <c r="C81" s="33"/>
      <c r="D81" s="34"/>
    </row>
    <row r="82" spans="2:4" x14ac:dyDescent="0.25">
      <c r="B82" s="32"/>
      <c r="C82" s="33"/>
      <c r="D82" s="35"/>
    </row>
    <row r="83" spans="2:4" x14ac:dyDescent="0.25">
      <c r="B83" s="32"/>
      <c r="C83" s="33"/>
      <c r="D83" s="35"/>
    </row>
    <row r="84" spans="2:4" x14ac:dyDescent="0.25">
      <c r="B84" s="32"/>
      <c r="C84" s="33"/>
      <c r="D84" s="34"/>
    </row>
    <row r="85" spans="2:4" x14ac:dyDescent="0.25">
      <c r="B85" s="32"/>
      <c r="C85" s="33"/>
      <c r="D85" s="34"/>
    </row>
    <row r="86" spans="2:4" x14ac:dyDescent="0.25">
      <c r="B86" s="32"/>
      <c r="C86" s="33"/>
      <c r="D86" s="34"/>
    </row>
    <row r="87" spans="2:4" x14ac:dyDescent="0.25">
      <c r="B87" s="32"/>
      <c r="C87" s="33"/>
      <c r="D87" s="34"/>
    </row>
    <row r="88" spans="2:4" x14ac:dyDescent="0.25">
      <c r="B88" s="32"/>
      <c r="C88" s="33"/>
      <c r="D88" s="34"/>
    </row>
    <row r="89" spans="2:4" x14ac:dyDescent="0.25">
      <c r="B89" s="32"/>
      <c r="C89" s="33"/>
      <c r="D89" s="34"/>
    </row>
    <row r="90" spans="2:4" x14ac:dyDescent="0.25">
      <c r="B90" s="32"/>
      <c r="C90" s="33"/>
      <c r="D90" s="34"/>
    </row>
    <row r="91" spans="2:4" x14ac:dyDescent="0.25">
      <c r="B91" s="32"/>
      <c r="C91" s="33"/>
      <c r="D91" s="34"/>
    </row>
    <row r="92" spans="2:4" x14ac:dyDescent="0.25">
      <c r="B92" s="32"/>
      <c r="C92" s="33"/>
      <c r="D92" s="34"/>
    </row>
    <row r="93" spans="2:4" x14ac:dyDescent="0.25">
      <c r="B93" s="32"/>
      <c r="C93" s="33"/>
      <c r="D93" s="34"/>
    </row>
    <row r="94" spans="2:4" x14ac:dyDescent="0.25">
      <c r="B94" s="32"/>
      <c r="C94" s="33"/>
      <c r="D94" s="34"/>
    </row>
    <row r="95" spans="2:4" x14ac:dyDescent="0.25">
      <c r="B95" s="32"/>
      <c r="C95" s="33"/>
      <c r="D95" s="35"/>
    </row>
    <row r="96" spans="2:4" x14ac:dyDescent="0.25">
      <c r="B96" s="32"/>
      <c r="C96" s="33"/>
      <c r="D96" s="35"/>
    </row>
    <row r="97" spans="2:28" x14ac:dyDescent="0.25">
      <c r="B97" s="32"/>
      <c r="C97" s="33"/>
      <c r="D97" s="35"/>
    </row>
    <row r="98" spans="2:28" x14ac:dyDescent="0.25">
      <c r="B98" s="32"/>
      <c r="C98" s="33"/>
      <c r="D98" s="34"/>
    </row>
    <row r="99" spans="2:28" x14ac:dyDescent="0.25">
      <c r="B99" s="32"/>
      <c r="C99" s="33"/>
      <c r="D99" s="34"/>
    </row>
    <row r="100" spans="2:28" x14ac:dyDescent="0.25">
      <c r="B100" s="32"/>
      <c r="C100" s="33"/>
      <c r="D100" s="34"/>
      <c r="Z100" s="24" t="s">
        <v>69</v>
      </c>
      <c r="AA100"/>
      <c r="AB100"/>
    </row>
    <row r="101" spans="2:28" x14ac:dyDescent="0.25">
      <c r="B101" s="32"/>
      <c r="C101" s="33"/>
      <c r="D101" s="34"/>
      <c r="Z101" s="24" t="s">
        <v>22</v>
      </c>
      <c r="AA101"/>
      <c r="AB101"/>
    </row>
    <row r="102" spans="2:28" x14ac:dyDescent="0.25">
      <c r="B102" s="32"/>
      <c r="C102" s="33"/>
      <c r="D102" s="34"/>
    </row>
    <row r="103" spans="2:28" x14ac:dyDescent="0.25">
      <c r="B103" s="32"/>
      <c r="C103" s="33"/>
      <c r="D103" s="34"/>
    </row>
    <row r="104" spans="2:28" x14ac:dyDescent="0.25">
      <c r="B104" s="32"/>
      <c r="C104" s="33"/>
      <c r="D104" s="34"/>
    </row>
    <row r="105" spans="2:28" x14ac:dyDescent="0.25">
      <c r="B105" s="32"/>
      <c r="C105" s="33"/>
      <c r="D105" s="34"/>
    </row>
    <row r="106" spans="2:28" x14ac:dyDescent="0.25">
      <c r="B106" s="32"/>
      <c r="C106" s="33"/>
      <c r="D106" s="34"/>
    </row>
    <row r="107" spans="2:28" x14ac:dyDescent="0.25">
      <c r="B107" s="32"/>
      <c r="C107" s="33"/>
      <c r="D107" s="34"/>
    </row>
    <row r="108" spans="2:28" x14ac:dyDescent="0.25">
      <c r="B108" s="32"/>
      <c r="C108" s="33"/>
      <c r="D108" s="34"/>
    </row>
    <row r="109" spans="2:28" x14ac:dyDescent="0.25">
      <c r="B109" s="32"/>
      <c r="C109" s="33"/>
      <c r="D109" s="34"/>
    </row>
    <row r="110" spans="2:28" x14ac:dyDescent="0.25">
      <c r="B110" s="32"/>
      <c r="C110" s="33"/>
      <c r="D110" s="34"/>
    </row>
    <row r="111" spans="2:28" x14ac:dyDescent="0.25">
      <c r="B111" s="32"/>
      <c r="C111" s="33"/>
      <c r="D111" s="34"/>
    </row>
    <row r="112" spans="2:28" x14ac:dyDescent="0.25">
      <c r="B112" s="32"/>
      <c r="C112" s="33"/>
      <c r="D112" s="34"/>
    </row>
    <row r="113" spans="2:4" x14ac:dyDescent="0.25">
      <c r="B113" s="32"/>
      <c r="C113" s="33"/>
      <c r="D113" s="34"/>
    </row>
    <row r="114" spans="2:4" x14ac:dyDescent="0.25">
      <c r="B114" s="32"/>
      <c r="C114" s="33"/>
      <c r="D114" s="34"/>
    </row>
    <row r="115" spans="2:4" x14ac:dyDescent="0.25">
      <c r="B115" s="32"/>
      <c r="C115" s="33"/>
      <c r="D115" s="34"/>
    </row>
    <row r="116" spans="2:4" x14ac:dyDescent="0.25">
      <c r="B116" s="32"/>
      <c r="C116" s="33"/>
      <c r="D116" s="34"/>
    </row>
    <row r="117" spans="2:4" x14ac:dyDescent="0.25">
      <c r="B117" s="32"/>
      <c r="C117" s="33"/>
      <c r="D117" s="35"/>
    </row>
    <row r="118" spans="2:4" x14ac:dyDescent="0.25">
      <c r="B118" s="32"/>
      <c r="C118" s="33"/>
      <c r="D118" s="34"/>
    </row>
    <row r="119" spans="2:4" x14ac:dyDescent="0.25">
      <c r="B119" s="32"/>
      <c r="C119" s="33"/>
      <c r="D119" s="34"/>
    </row>
    <row r="120" spans="2:4" x14ac:dyDescent="0.25">
      <c r="B120" s="32"/>
      <c r="C120" s="33"/>
      <c r="D120" s="34"/>
    </row>
    <row r="121" spans="2:4" x14ac:dyDescent="0.25">
      <c r="B121" s="32"/>
      <c r="C121" s="33"/>
      <c r="D121" s="34"/>
    </row>
    <row r="122" spans="2:4" x14ac:dyDescent="0.25">
      <c r="B122" s="32"/>
      <c r="C122" s="33"/>
      <c r="D122" s="34"/>
    </row>
    <row r="123" spans="2:4" x14ac:dyDescent="0.25">
      <c r="B123" s="32"/>
      <c r="C123" s="33"/>
      <c r="D123" s="34"/>
    </row>
    <row r="124" spans="2:4" x14ac:dyDescent="0.25">
      <c r="B124" s="32"/>
      <c r="C124" s="33"/>
      <c r="D124" s="34"/>
    </row>
    <row r="125" spans="2:4" x14ac:dyDescent="0.25">
      <c r="B125" s="32"/>
      <c r="C125" s="33"/>
      <c r="D125" s="34"/>
    </row>
  </sheetData>
  <mergeCells count="4">
    <mergeCell ref="B8:H8"/>
    <mergeCell ref="F9:G9"/>
    <mergeCell ref="B10:C10"/>
    <mergeCell ref="E10:F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planilhaAnterior">
                <anchor moveWithCells="1" sizeWithCells="1">
                  <from>
                    <xdr:col>8</xdr:col>
                    <xdr:colOff>295275</xdr:colOff>
                    <xdr:row>1</xdr:row>
                    <xdr:rowOff>142875</xdr:rowOff>
                  </from>
                  <to>
                    <xdr:col>10</xdr:col>
                    <xdr:colOff>476250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12F-8E1E-4473-B90F-DC59D21A0C01}">
  <sheetPr codeName="Planilha10"/>
  <dimension ref="A3:AC124"/>
  <sheetViews>
    <sheetView showGridLines="0" zoomScale="92" zoomScaleNormal="92" workbookViewId="0">
      <selection activeCell="I39" sqref="I39"/>
    </sheetView>
  </sheetViews>
  <sheetFormatPr defaultRowHeight="15" x14ac:dyDescent="0.25"/>
  <cols>
    <col min="1" max="1" width="2" customWidth="1"/>
    <col min="2" max="2" width="14" customWidth="1"/>
    <col min="3" max="3" width="31.42578125" customWidth="1"/>
    <col min="4" max="4" width="15.7109375" customWidth="1"/>
    <col min="5" max="5" width="14.7109375" customWidth="1"/>
    <col min="6" max="6" width="2.28515625" customWidth="1"/>
    <col min="7" max="7" width="11.42578125" customWidth="1"/>
    <col min="8" max="8" width="15" customWidth="1"/>
    <col min="9" max="9" width="36.42578125" customWidth="1"/>
    <col min="10" max="10" width="14.7109375" customWidth="1"/>
    <col min="11" max="11" width="40.5703125" customWidth="1"/>
    <col min="12" max="12" width="16.7109375" customWidth="1"/>
    <col min="13" max="13" width="10.5703125" customWidth="1"/>
    <col min="14" max="14" width="17.7109375" customWidth="1"/>
    <col min="15" max="16" width="14.85546875" customWidth="1"/>
    <col min="17" max="17" width="15.5703125" customWidth="1"/>
    <col min="25" max="28" width="9.140625" style="1"/>
    <col min="29" max="29" width="10.28515625" style="1" customWidth="1"/>
  </cols>
  <sheetData>
    <row r="3" spans="1:24" s="1" customFormat="1" ht="15" customHeight="1" x14ac:dyDescent="0.25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 x14ac:dyDescent="0.3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 x14ac:dyDescent="0.3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x14ac:dyDescent="0.25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.75" thickBot="1" x14ac:dyDescent="0.3"/>
    <row r="8" spans="1:24" ht="21" thickBot="1" x14ac:dyDescent="0.35">
      <c r="B8" s="234" t="s">
        <v>129</v>
      </c>
      <c r="C8" s="235"/>
      <c r="D8" s="235"/>
      <c r="E8" s="236"/>
      <c r="F8" s="112"/>
      <c r="G8" s="234" t="s">
        <v>130</v>
      </c>
      <c r="H8" s="235"/>
      <c r="I8" s="235"/>
      <c r="J8" s="235"/>
      <c r="K8" s="235"/>
      <c r="L8" s="235"/>
      <c r="M8" s="235"/>
      <c r="N8" s="235"/>
      <c r="O8" s="235"/>
      <c r="P8" s="235"/>
      <c r="Q8" s="236"/>
    </row>
    <row r="9" spans="1:24" ht="12.75" customHeight="1" thickBot="1" x14ac:dyDescent="0.3">
      <c r="C9" s="5"/>
      <c r="F9" s="237"/>
      <c r="G9" s="237"/>
    </row>
    <row r="10" spans="1:24" ht="15.75" thickBot="1" x14ac:dyDescent="0.3">
      <c r="B10" s="113" t="s">
        <v>105</v>
      </c>
      <c r="C10" s="114" t="s">
        <v>77</v>
      </c>
      <c r="D10" s="114" t="s">
        <v>80</v>
      </c>
      <c r="E10" s="114" t="s">
        <v>78</v>
      </c>
      <c r="F10" s="115"/>
      <c r="G10" s="116" t="s">
        <v>118</v>
      </c>
      <c r="H10" s="114" t="s">
        <v>119</v>
      </c>
      <c r="I10" s="114" t="s">
        <v>120</v>
      </c>
      <c r="J10" s="114" t="s">
        <v>121</v>
      </c>
      <c r="K10" s="114" t="s">
        <v>122</v>
      </c>
      <c r="L10" s="114" t="s">
        <v>128</v>
      </c>
      <c r="M10" s="114" t="s">
        <v>123</v>
      </c>
      <c r="N10" s="114" t="s">
        <v>125</v>
      </c>
      <c r="O10" s="114" t="s">
        <v>124</v>
      </c>
      <c r="P10" s="114" t="s">
        <v>126</v>
      </c>
      <c r="Q10" s="114" t="s">
        <v>127</v>
      </c>
    </row>
    <row r="11" spans="1:24" ht="15" customHeight="1" thickBot="1" x14ac:dyDescent="0.3">
      <c r="B11" s="117">
        <v>2000</v>
      </c>
      <c r="C11" s="118" t="s">
        <v>30</v>
      </c>
      <c r="D11" s="119">
        <v>65</v>
      </c>
      <c r="E11" s="120" t="s">
        <v>31</v>
      </c>
      <c r="F11" s="121"/>
      <c r="G11" s="122"/>
      <c r="H11" s="123"/>
      <c r="I11" s="123"/>
      <c r="J11" s="123"/>
      <c r="K11" s="123"/>
      <c r="L11" s="123"/>
      <c r="M11" s="124"/>
      <c r="N11" s="125"/>
      <c r="O11" s="125"/>
      <c r="P11" s="126"/>
      <c r="Q11" s="127"/>
    </row>
    <row r="12" spans="1:24" s="1" customFormat="1" ht="15" customHeight="1" thickBot="1" x14ac:dyDescent="0.3">
      <c r="A12"/>
      <c r="B12" s="128">
        <v>2001</v>
      </c>
      <c r="C12" s="129" t="s">
        <v>32</v>
      </c>
      <c r="D12" s="130">
        <v>399</v>
      </c>
      <c r="E12" s="131" t="s">
        <v>31</v>
      </c>
      <c r="F12" s="121"/>
      <c r="G12" s="122"/>
      <c r="H12" s="123"/>
      <c r="I12" s="123"/>
      <c r="J12" s="123"/>
      <c r="K12" s="123"/>
      <c r="L12" s="123"/>
      <c r="M12" s="124"/>
      <c r="N12" s="125"/>
      <c r="O12" s="125"/>
      <c r="P12" s="126"/>
      <c r="Q12" s="127"/>
      <c r="R12"/>
      <c r="S12"/>
      <c r="T12"/>
      <c r="U12"/>
      <c r="V12"/>
    </row>
    <row r="13" spans="1:24" s="1" customFormat="1" ht="15" customHeight="1" thickBot="1" x14ac:dyDescent="0.3">
      <c r="A13"/>
      <c r="B13" s="128">
        <v>2002</v>
      </c>
      <c r="C13" s="129" t="s">
        <v>33</v>
      </c>
      <c r="D13" s="130">
        <v>1890</v>
      </c>
      <c r="E13" s="131" t="s">
        <v>31</v>
      </c>
      <c r="F13" s="121"/>
      <c r="G13" s="122"/>
      <c r="H13" s="123"/>
      <c r="I13" s="123"/>
      <c r="J13" s="123"/>
      <c r="K13" s="123"/>
      <c r="L13" s="123"/>
      <c r="M13" s="124"/>
      <c r="N13" s="125"/>
      <c r="O13" s="125"/>
      <c r="P13" s="126"/>
      <c r="Q13" s="127"/>
      <c r="R13"/>
      <c r="S13"/>
      <c r="T13"/>
      <c r="U13"/>
      <c r="V13"/>
    </row>
    <row r="14" spans="1:24" s="1" customFormat="1" ht="15" customHeight="1" thickBot="1" x14ac:dyDescent="0.3">
      <c r="A14"/>
      <c r="B14" s="128">
        <v>2003</v>
      </c>
      <c r="C14" s="129" t="s">
        <v>34</v>
      </c>
      <c r="D14" s="130">
        <v>550</v>
      </c>
      <c r="E14" s="131" t="s">
        <v>31</v>
      </c>
      <c r="F14" s="121"/>
      <c r="G14" s="122"/>
      <c r="H14" s="123"/>
      <c r="I14" s="123"/>
      <c r="J14" s="123"/>
      <c r="K14" s="123"/>
      <c r="L14" s="123"/>
      <c r="M14" s="124"/>
      <c r="N14" s="125"/>
      <c r="O14" s="125"/>
      <c r="P14" s="126"/>
      <c r="Q14" s="127"/>
      <c r="R14"/>
      <c r="S14"/>
      <c r="T14"/>
      <c r="U14"/>
      <c r="V14"/>
    </row>
    <row r="15" spans="1:24" s="1" customFormat="1" ht="15" customHeight="1" thickBot="1" x14ac:dyDescent="0.3">
      <c r="A15"/>
      <c r="B15" s="128">
        <v>2004</v>
      </c>
      <c r="C15" s="132" t="s">
        <v>35</v>
      </c>
      <c r="D15" s="130">
        <v>1499</v>
      </c>
      <c r="E15" s="131" t="s">
        <v>36</v>
      </c>
      <c r="F15" s="121"/>
      <c r="G15" s="122"/>
      <c r="H15" s="123"/>
      <c r="I15" s="123"/>
      <c r="J15" s="123"/>
      <c r="K15" s="123"/>
      <c r="L15" s="123"/>
      <c r="M15" s="124"/>
      <c r="N15" s="125"/>
      <c r="O15" s="125"/>
      <c r="P15" s="126"/>
      <c r="Q15" s="127"/>
      <c r="R15"/>
      <c r="S15"/>
      <c r="T15"/>
      <c r="U15"/>
      <c r="V15"/>
    </row>
    <row r="16" spans="1:24" s="1" customFormat="1" ht="15" customHeight="1" thickBot="1" x14ac:dyDescent="0.3">
      <c r="A16"/>
      <c r="B16" s="128">
        <v>2005</v>
      </c>
      <c r="C16" s="129" t="s">
        <v>37</v>
      </c>
      <c r="D16" s="130">
        <v>125</v>
      </c>
      <c r="E16" s="131" t="s">
        <v>36</v>
      </c>
      <c r="F16" s="121"/>
      <c r="G16" s="122"/>
      <c r="H16" s="123"/>
      <c r="I16" s="123"/>
      <c r="J16" s="123"/>
      <c r="K16" s="123"/>
      <c r="L16" s="123"/>
      <c r="M16" s="124"/>
      <c r="N16" s="125"/>
      <c r="O16" s="125"/>
      <c r="P16" s="126"/>
      <c r="Q16" s="127"/>
      <c r="R16"/>
      <c r="S16"/>
      <c r="T16"/>
      <c r="U16"/>
      <c r="V16"/>
    </row>
    <row r="17" spans="1:17" s="1" customFormat="1" ht="15" customHeight="1" thickBot="1" x14ac:dyDescent="0.3">
      <c r="A17"/>
      <c r="B17" s="128">
        <v>2006</v>
      </c>
      <c r="C17" s="129" t="s">
        <v>38</v>
      </c>
      <c r="D17" s="130">
        <v>29</v>
      </c>
      <c r="E17" s="131" t="s">
        <v>31</v>
      </c>
      <c r="F17" s="121"/>
      <c r="G17" s="122"/>
      <c r="H17" s="123"/>
      <c r="I17" s="123"/>
      <c r="J17" s="123"/>
      <c r="K17" s="123"/>
      <c r="L17" s="123"/>
      <c r="M17" s="124"/>
      <c r="N17" s="125"/>
      <c r="O17" s="125"/>
      <c r="P17" s="126"/>
      <c r="Q17" s="127"/>
    </row>
    <row r="18" spans="1:17" s="1" customFormat="1" ht="15" customHeight="1" thickBot="1" x14ac:dyDescent="0.3">
      <c r="A18"/>
      <c r="B18" s="128">
        <v>2007</v>
      </c>
      <c r="C18" s="129" t="s">
        <v>39</v>
      </c>
      <c r="D18" s="130">
        <v>3120</v>
      </c>
      <c r="E18" s="131" t="s">
        <v>31</v>
      </c>
      <c r="F18" s="121"/>
      <c r="G18" s="122"/>
      <c r="H18" s="123"/>
      <c r="I18" s="123"/>
      <c r="J18" s="123"/>
      <c r="K18" s="123"/>
      <c r="L18" s="123"/>
      <c r="M18" s="124"/>
      <c r="N18" s="125"/>
      <c r="O18" s="125"/>
      <c r="P18" s="126"/>
      <c r="Q18" s="127"/>
    </row>
    <row r="19" spans="1:17" s="1" customFormat="1" ht="15" customHeight="1" thickBot="1" x14ac:dyDescent="0.3">
      <c r="A19"/>
      <c r="B19" s="128">
        <v>2008</v>
      </c>
      <c r="C19" s="129" t="s">
        <v>40</v>
      </c>
      <c r="D19" s="130">
        <v>145</v>
      </c>
      <c r="E19" s="131" t="s">
        <v>31</v>
      </c>
      <c r="F19" s="121"/>
      <c r="G19" s="122"/>
      <c r="H19" s="123"/>
      <c r="I19" s="123"/>
      <c r="J19" s="123"/>
      <c r="K19" s="123"/>
      <c r="L19" s="123"/>
      <c r="M19" s="124"/>
      <c r="N19" s="125"/>
      <c r="O19" s="125"/>
      <c r="P19" s="126"/>
      <c r="Q19" s="127"/>
    </row>
    <row r="20" spans="1:17" s="1" customFormat="1" ht="15" customHeight="1" thickBot="1" x14ac:dyDescent="0.3">
      <c r="A20"/>
      <c r="B20" s="128">
        <v>2009</v>
      </c>
      <c r="C20" s="129" t="s">
        <v>41</v>
      </c>
      <c r="D20" s="130">
        <v>120</v>
      </c>
      <c r="E20" s="131" t="s">
        <v>31</v>
      </c>
      <c r="F20" s="121"/>
      <c r="G20" s="122"/>
      <c r="H20" s="123"/>
      <c r="I20" s="123"/>
      <c r="J20" s="123"/>
      <c r="K20" s="123"/>
      <c r="L20" s="123"/>
      <c r="M20" s="124"/>
      <c r="N20" s="125"/>
      <c r="O20" s="125"/>
      <c r="P20" s="126"/>
      <c r="Q20" s="127"/>
    </row>
    <row r="21" spans="1:17" s="1" customFormat="1" ht="15" customHeight="1" thickBot="1" x14ac:dyDescent="0.3">
      <c r="A21"/>
      <c r="B21" s="128">
        <v>2010</v>
      </c>
      <c r="C21" s="129" t="s">
        <v>42</v>
      </c>
      <c r="D21" s="130">
        <v>98</v>
      </c>
      <c r="E21" s="131" t="s">
        <v>31</v>
      </c>
      <c r="F21" s="121"/>
      <c r="G21" s="122"/>
      <c r="H21" s="123"/>
      <c r="I21" s="123"/>
      <c r="J21" s="123"/>
      <c r="K21" s="123"/>
      <c r="L21" s="123"/>
      <c r="M21" s="124"/>
      <c r="N21" s="125"/>
      <c r="O21" s="125"/>
      <c r="P21" s="126"/>
      <c r="Q21" s="127"/>
    </row>
    <row r="22" spans="1:17" s="1" customFormat="1" ht="15" customHeight="1" thickBot="1" x14ac:dyDescent="0.3">
      <c r="A22"/>
      <c r="B22" s="128">
        <v>2011</v>
      </c>
      <c r="C22" s="129" t="s">
        <v>43</v>
      </c>
      <c r="D22" s="130">
        <v>35</v>
      </c>
      <c r="E22" s="131" t="s">
        <v>31</v>
      </c>
      <c r="F22" s="121"/>
      <c r="G22" s="122"/>
      <c r="H22" s="123"/>
      <c r="I22" s="123"/>
      <c r="J22" s="123"/>
      <c r="K22" s="123"/>
      <c r="L22" s="123"/>
      <c r="M22" s="124"/>
      <c r="N22" s="125"/>
      <c r="O22" s="125"/>
      <c r="P22" s="126"/>
      <c r="Q22" s="127"/>
    </row>
    <row r="23" spans="1:17" s="1" customFormat="1" ht="15" customHeight="1" thickBot="1" x14ac:dyDescent="0.3">
      <c r="A23"/>
      <c r="B23" s="128">
        <v>2012</v>
      </c>
      <c r="C23" s="129" t="s">
        <v>44</v>
      </c>
      <c r="D23" s="130">
        <v>235</v>
      </c>
      <c r="E23" s="131" t="s">
        <v>45</v>
      </c>
      <c r="F23" s="121"/>
      <c r="G23" s="122"/>
      <c r="H23" s="123"/>
      <c r="I23" s="123"/>
      <c r="J23" s="123"/>
      <c r="K23" s="123"/>
      <c r="L23" s="123"/>
      <c r="M23" s="124"/>
      <c r="N23" s="125"/>
      <c r="O23" s="125"/>
      <c r="P23" s="126"/>
      <c r="Q23" s="127"/>
    </row>
    <row r="24" spans="1:17" s="1" customFormat="1" ht="15" customHeight="1" thickBot="1" x14ac:dyDescent="0.3">
      <c r="A24"/>
      <c r="B24" s="128">
        <v>2013</v>
      </c>
      <c r="C24" s="133" t="s">
        <v>46</v>
      </c>
      <c r="D24" s="130">
        <v>12</v>
      </c>
      <c r="E24" s="131" t="s">
        <v>36</v>
      </c>
      <c r="F24" s="121"/>
      <c r="G24" s="122"/>
      <c r="H24" s="123"/>
      <c r="I24" s="123"/>
      <c r="J24" s="123"/>
      <c r="K24" s="123"/>
      <c r="L24" s="123"/>
      <c r="M24" s="124"/>
      <c r="N24" s="125"/>
      <c r="O24" s="125"/>
      <c r="P24" s="126"/>
      <c r="Q24" s="127"/>
    </row>
    <row r="25" spans="1:17" s="1" customFormat="1" ht="15" customHeight="1" thickBot="1" x14ac:dyDescent="0.3">
      <c r="A25"/>
      <c r="B25" s="128">
        <v>2014</v>
      </c>
      <c r="C25" s="129" t="s">
        <v>106</v>
      </c>
      <c r="D25" s="130">
        <v>3190</v>
      </c>
      <c r="E25" s="131" t="s">
        <v>45</v>
      </c>
      <c r="F25" s="134"/>
      <c r="G25" s="122"/>
      <c r="H25" s="123"/>
      <c r="I25" s="123"/>
      <c r="J25" s="123"/>
      <c r="K25" s="123"/>
      <c r="L25" s="123"/>
      <c r="M25" s="124"/>
      <c r="N25" s="125"/>
      <c r="O25" s="125"/>
      <c r="P25" s="126"/>
      <c r="Q25" s="127"/>
    </row>
    <row r="26" spans="1:17" s="1" customFormat="1" ht="15" customHeight="1" thickBot="1" x14ac:dyDescent="0.3">
      <c r="A26"/>
      <c r="B26" s="128">
        <v>2015</v>
      </c>
      <c r="C26" s="132" t="s">
        <v>107</v>
      </c>
      <c r="D26" s="130">
        <v>632</v>
      </c>
      <c r="E26" s="131" t="s">
        <v>45</v>
      </c>
      <c r="F26" s="134"/>
      <c r="G26" s="122"/>
      <c r="H26" s="123"/>
      <c r="I26" s="123"/>
      <c r="J26" s="123"/>
      <c r="K26" s="123"/>
      <c r="L26" s="123"/>
      <c r="M26" s="124"/>
      <c r="N26" s="125"/>
      <c r="O26" s="125"/>
      <c r="P26" s="126"/>
      <c r="Q26" s="127"/>
    </row>
    <row r="27" spans="1:17" s="1" customFormat="1" ht="15" customHeight="1" thickBot="1" x14ac:dyDescent="0.3">
      <c r="A27"/>
      <c r="B27" s="128">
        <v>2016</v>
      </c>
      <c r="C27" s="129" t="s">
        <v>108</v>
      </c>
      <c r="D27" s="130">
        <v>587</v>
      </c>
      <c r="E27" s="131" t="s">
        <v>45</v>
      </c>
      <c r="F27" s="134"/>
      <c r="G27" s="122"/>
      <c r="H27" s="123"/>
      <c r="I27" s="123"/>
      <c r="J27" s="123"/>
      <c r="K27" s="123"/>
      <c r="L27" s="123"/>
      <c r="M27" s="124"/>
      <c r="N27" s="125"/>
      <c r="O27" s="125"/>
      <c r="P27" s="126"/>
      <c r="Q27" s="127"/>
    </row>
    <row r="28" spans="1:17" s="1" customFormat="1" ht="15" customHeight="1" thickBot="1" x14ac:dyDescent="0.3">
      <c r="A28"/>
      <c r="B28" s="128">
        <v>2017</v>
      </c>
      <c r="C28" s="129" t="s">
        <v>109</v>
      </c>
      <c r="D28" s="130">
        <v>899</v>
      </c>
      <c r="E28" s="131" t="s">
        <v>36</v>
      </c>
      <c r="F28" s="135"/>
      <c r="G28" s="122"/>
      <c r="H28" s="123"/>
      <c r="I28" s="123"/>
      <c r="J28" s="123"/>
      <c r="K28" s="123"/>
      <c r="L28" s="123"/>
      <c r="M28" s="124"/>
      <c r="N28" s="125"/>
      <c r="O28" s="125"/>
      <c r="P28" s="126"/>
      <c r="Q28" s="127"/>
    </row>
    <row r="29" spans="1:17" s="1" customFormat="1" ht="15" customHeight="1" thickBot="1" x14ac:dyDescent="0.3">
      <c r="A29"/>
      <c r="B29" s="128">
        <v>2018</v>
      </c>
      <c r="C29" s="129" t="s">
        <v>110</v>
      </c>
      <c r="D29" s="130">
        <v>190</v>
      </c>
      <c r="E29" s="131" t="s">
        <v>45</v>
      </c>
      <c r="F29" s="136"/>
      <c r="G29" s="122"/>
      <c r="H29" s="123"/>
      <c r="I29" s="123"/>
      <c r="J29" s="123"/>
      <c r="K29" s="123"/>
      <c r="L29" s="123"/>
      <c r="M29" s="124"/>
      <c r="N29" s="125"/>
      <c r="O29" s="125"/>
      <c r="P29" s="126"/>
      <c r="Q29" s="127"/>
    </row>
    <row r="30" spans="1:17" s="1" customFormat="1" ht="15" customHeight="1" thickBot="1" x14ac:dyDescent="0.3">
      <c r="A30"/>
      <c r="B30" s="128">
        <v>2019</v>
      </c>
      <c r="C30" s="129" t="s">
        <v>111</v>
      </c>
      <c r="D30" s="130">
        <v>115</v>
      </c>
      <c r="E30" s="131" t="s">
        <v>31</v>
      </c>
      <c r="F30" s="136"/>
      <c r="G30" s="122"/>
      <c r="H30" s="123"/>
      <c r="I30" s="123"/>
      <c r="J30" s="123"/>
      <c r="K30" s="123"/>
      <c r="L30" s="123"/>
      <c r="M30" s="124"/>
      <c r="N30" s="125"/>
      <c r="O30" s="125"/>
      <c r="P30" s="126"/>
      <c r="Q30" s="127"/>
    </row>
    <row r="31" spans="1:17" s="1" customFormat="1" ht="15" customHeight="1" thickBot="1" x14ac:dyDescent="0.3">
      <c r="A31"/>
      <c r="B31" s="128">
        <v>2020</v>
      </c>
      <c r="C31" s="132" t="s">
        <v>112</v>
      </c>
      <c r="D31" s="137">
        <v>15</v>
      </c>
      <c r="E31" s="131" t="s">
        <v>36</v>
      </c>
      <c r="F31" s="136"/>
      <c r="G31" s="122"/>
      <c r="H31" s="123"/>
      <c r="I31" s="123"/>
      <c r="J31" s="123"/>
      <c r="K31" s="123"/>
      <c r="L31" s="123"/>
      <c r="M31" s="124"/>
      <c r="N31" s="125"/>
      <c r="O31" s="125"/>
      <c r="P31" s="126"/>
      <c r="Q31" s="127"/>
    </row>
    <row r="32" spans="1:17" s="1" customFormat="1" ht="15" customHeight="1" thickBot="1" x14ac:dyDescent="0.3">
      <c r="A32"/>
      <c r="B32" s="128">
        <v>2021</v>
      </c>
      <c r="C32" s="132" t="s">
        <v>113</v>
      </c>
      <c r="D32" s="137">
        <v>10</v>
      </c>
      <c r="E32" s="131" t="s">
        <v>36</v>
      </c>
      <c r="F32" s="136"/>
      <c r="G32" s="122"/>
      <c r="H32" s="123"/>
      <c r="I32" s="123"/>
      <c r="J32" s="123"/>
      <c r="K32" s="123"/>
      <c r="L32" s="123"/>
      <c r="M32" s="124"/>
      <c r="N32" s="125"/>
      <c r="O32" s="125"/>
      <c r="P32" s="126"/>
      <c r="Q32" s="127"/>
    </row>
    <row r="33" spans="1:17" s="1" customFormat="1" ht="15" customHeight="1" thickBot="1" x14ac:dyDescent="0.3">
      <c r="A33"/>
      <c r="B33" s="128">
        <v>2022</v>
      </c>
      <c r="C33" s="133" t="s">
        <v>114</v>
      </c>
      <c r="D33" s="137">
        <v>3890</v>
      </c>
      <c r="E33" s="131" t="s">
        <v>45</v>
      </c>
      <c r="F33" s="136"/>
      <c r="G33" s="122"/>
      <c r="H33" s="123"/>
      <c r="I33" s="123"/>
      <c r="J33" s="123"/>
      <c r="K33" s="123"/>
      <c r="L33" s="123"/>
      <c r="M33" s="124"/>
      <c r="N33" s="125"/>
      <c r="O33" s="125"/>
      <c r="P33" s="126"/>
      <c r="Q33" s="127"/>
    </row>
    <row r="34" spans="1:17" s="1" customFormat="1" ht="15" customHeight="1" thickBot="1" x14ac:dyDescent="0.3">
      <c r="B34" s="128">
        <v>2023</v>
      </c>
      <c r="C34" s="132" t="s">
        <v>115</v>
      </c>
      <c r="D34" s="137">
        <v>180</v>
      </c>
      <c r="E34" s="131" t="s">
        <v>31</v>
      </c>
      <c r="F34" s="136"/>
      <c r="G34" s="122"/>
      <c r="H34" s="123"/>
      <c r="I34" s="123"/>
      <c r="J34" s="123"/>
      <c r="K34" s="123"/>
      <c r="L34" s="123"/>
      <c r="M34" s="124"/>
      <c r="N34" s="125"/>
      <c r="O34" s="125"/>
      <c r="P34" s="126"/>
      <c r="Q34" s="127"/>
    </row>
    <row r="35" spans="1:17" s="1" customFormat="1" ht="15" customHeight="1" thickBot="1" x14ac:dyDescent="0.3">
      <c r="B35" s="128">
        <v>2024</v>
      </c>
      <c r="C35" s="132" t="s">
        <v>116</v>
      </c>
      <c r="D35" s="137">
        <v>660</v>
      </c>
      <c r="E35" s="131" t="s">
        <v>36</v>
      </c>
      <c r="F35" s="136"/>
      <c r="G35" s="122"/>
      <c r="H35" s="123"/>
      <c r="I35" s="123"/>
      <c r="J35" s="123"/>
      <c r="K35" s="123"/>
      <c r="L35" s="123"/>
      <c r="M35" s="124"/>
      <c r="N35" s="125"/>
      <c r="O35" s="125"/>
      <c r="P35" s="126"/>
      <c r="Q35" s="127"/>
    </row>
    <row r="36" spans="1:17" s="1" customFormat="1" ht="15" customHeight="1" thickBot="1" x14ac:dyDescent="0.3">
      <c r="B36" s="128">
        <v>2025</v>
      </c>
      <c r="C36" s="132" t="s">
        <v>117</v>
      </c>
      <c r="D36" s="137">
        <v>899</v>
      </c>
      <c r="E36" s="131" t="s">
        <v>45</v>
      </c>
      <c r="F36" s="136"/>
      <c r="G36" s="122"/>
      <c r="H36" s="123"/>
      <c r="I36" s="123"/>
      <c r="J36" s="123"/>
      <c r="K36" s="123"/>
      <c r="L36" s="123"/>
      <c r="M36" s="124"/>
      <c r="N36" s="125"/>
      <c r="O36" s="125"/>
      <c r="P36" s="126"/>
      <c r="Q36" s="127"/>
    </row>
    <row r="37" spans="1:17" s="1" customFormat="1" x14ac:dyDescent="0.25">
      <c r="B37" s="32"/>
      <c r="C37" s="33"/>
      <c r="D37" s="34"/>
      <c r="E37"/>
      <c r="F37"/>
      <c r="G37"/>
    </row>
    <row r="38" spans="1:17" x14ac:dyDescent="0.25">
      <c r="B38" s="32"/>
      <c r="C38" s="33"/>
      <c r="D38" s="34"/>
    </row>
    <row r="39" spans="1:17" x14ac:dyDescent="0.25">
      <c r="B39" s="32"/>
      <c r="C39" s="33"/>
      <c r="D39" s="34"/>
    </row>
    <row r="40" spans="1:17" x14ac:dyDescent="0.25">
      <c r="B40" s="32"/>
      <c r="C40" s="33"/>
      <c r="D40" s="34"/>
    </row>
    <row r="41" spans="1:17" x14ac:dyDescent="0.25">
      <c r="B41" s="32"/>
      <c r="C41" s="33"/>
      <c r="D41" s="34"/>
    </row>
    <row r="42" spans="1:17" x14ac:dyDescent="0.25">
      <c r="B42" s="32"/>
      <c r="C42" s="33"/>
      <c r="D42" s="34"/>
    </row>
    <row r="43" spans="1:17" x14ac:dyDescent="0.25">
      <c r="B43" s="32"/>
      <c r="C43" s="33"/>
      <c r="D43" s="34"/>
    </row>
    <row r="44" spans="1:17" x14ac:dyDescent="0.25">
      <c r="B44" s="32"/>
      <c r="C44" s="33"/>
      <c r="D44" s="34"/>
    </row>
    <row r="45" spans="1:17" x14ac:dyDescent="0.25">
      <c r="B45" s="32"/>
      <c r="C45" s="33"/>
      <c r="D45" s="34"/>
    </row>
    <row r="46" spans="1:17" x14ac:dyDescent="0.25">
      <c r="B46" s="32"/>
      <c r="C46" s="33"/>
      <c r="D46" s="34"/>
    </row>
    <row r="47" spans="1:17" x14ac:dyDescent="0.25">
      <c r="B47" s="32"/>
      <c r="C47" s="33"/>
      <c r="D47" s="34"/>
    </row>
    <row r="48" spans="1:17" x14ac:dyDescent="0.25">
      <c r="B48" s="32"/>
      <c r="C48" s="33"/>
      <c r="D48" s="34"/>
    </row>
    <row r="49" spans="2:4" x14ac:dyDescent="0.25">
      <c r="B49" s="32"/>
      <c r="C49" s="33"/>
      <c r="D49" s="34"/>
    </row>
    <row r="50" spans="2:4" x14ac:dyDescent="0.25">
      <c r="B50" s="32"/>
      <c r="C50" s="33"/>
      <c r="D50" s="34"/>
    </row>
    <row r="51" spans="2:4" x14ac:dyDescent="0.25">
      <c r="B51" s="32"/>
      <c r="C51" s="33"/>
      <c r="D51" s="34"/>
    </row>
    <row r="52" spans="2:4" x14ac:dyDescent="0.25">
      <c r="B52" s="32"/>
      <c r="C52" s="33"/>
      <c r="D52" s="34"/>
    </row>
    <row r="53" spans="2:4" x14ac:dyDescent="0.25">
      <c r="B53" s="32"/>
      <c r="C53" s="33"/>
      <c r="D53" s="34"/>
    </row>
    <row r="54" spans="2:4" x14ac:dyDescent="0.25">
      <c r="B54" s="32"/>
      <c r="C54" s="33"/>
      <c r="D54" s="34"/>
    </row>
    <row r="55" spans="2:4" x14ac:dyDescent="0.25">
      <c r="B55" s="32"/>
      <c r="C55" s="33"/>
      <c r="D55" s="34"/>
    </row>
    <row r="56" spans="2:4" x14ac:dyDescent="0.25">
      <c r="B56" s="32"/>
      <c r="C56" s="33"/>
      <c r="D56" s="34"/>
    </row>
    <row r="57" spans="2:4" x14ac:dyDescent="0.25">
      <c r="B57" s="32"/>
      <c r="C57" s="33"/>
      <c r="D57" s="34"/>
    </row>
    <row r="58" spans="2:4" x14ac:dyDescent="0.25">
      <c r="B58" s="32"/>
      <c r="C58" s="33"/>
      <c r="D58" s="34"/>
    </row>
    <row r="59" spans="2:4" x14ac:dyDescent="0.25">
      <c r="B59" s="32"/>
      <c r="C59" s="33"/>
      <c r="D59" s="34"/>
    </row>
    <row r="60" spans="2:4" x14ac:dyDescent="0.25">
      <c r="B60" s="32"/>
      <c r="C60" s="33"/>
      <c r="D60" s="34"/>
    </row>
    <row r="61" spans="2:4" x14ac:dyDescent="0.25">
      <c r="B61" s="32"/>
      <c r="C61" s="33"/>
      <c r="D61" s="34"/>
    </row>
    <row r="62" spans="2:4" x14ac:dyDescent="0.25">
      <c r="B62" s="32"/>
      <c r="C62" s="33"/>
      <c r="D62" s="34"/>
    </row>
    <row r="63" spans="2:4" x14ac:dyDescent="0.25">
      <c r="B63" s="32"/>
      <c r="C63" s="33"/>
      <c r="D63" s="34"/>
    </row>
    <row r="64" spans="2:4" x14ac:dyDescent="0.25">
      <c r="B64" s="32"/>
      <c r="C64" s="33"/>
      <c r="D64" s="34"/>
    </row>
    <row r="65" spans="2:4" x14ac:dyDescent="0.25">
      <c r="B65" s="32"/>
      <c r="C65" s="33"/>
      <c r="D65" s="34"/>
    </row>
    <row r="66" spans="2:4" x14ac:dyDescent="0.25">
      <c r="B66" s="32"/>
      <c r="C66" s="33"/>
      <c r="D66" s="34"/>
    </row>
    <row r="67" spans="2:4" x14ac:dyDescent="0.25">
      <c r="B67" s="32"/>
      <c r="C67" s="33"/>
      <c r="D67" s="34"/>
    </row>
    <row r="68" spans="2:4" x14ac:dyDescent="0.25">
      <c r="B68" s="32"/>
      <c r="C68" s="33"/>
      <c r="D68" s="34"/>
    </row>
    <row r="69" spans="2:4" x14ac:dyDescent="0.25">
      <c r="B69" s="32"/>
      <c r="C69" s="33"/>
      <c r="D69" s="34"/>
    </row>
    <row r="70" spans="2:4" x14ac:dyDescent="0.25">
      <c r="B70" s="32"/>
      <c r="C70" s="33"/>
      <c r="D70" s="34"/>
    </row>
    <row r="71" spans="2:4" x14ac:dyDescent="0.25">
      <c r="B71" s="32"/>
      <c r="C71" s="33"/>
      <c r="D71" s="34"/>
    </row>
    <row r="72" spans="2:4" x14ac:dyDescent="0.25">
      <c r="B72" s="32"/>
      <c r="C72" s="33"/>
      <c r="D72" s="34"/>
    </row>
    <row r="73" spans="2:4" x14ac:dyDescent="0.25">
      <c r="B73" s="32"/>
      <c r="C73" s="33"/>
      <c r="D73" s="34"/>
    </row>
    <row r="74" spans="2:4" x14ac:dyDescent="0.25">
      <c r="B74" s="32"/>
      <c r="C74" s="33"/>
      <c r="D74" s="34"/>
    </row>
    <row r="75" spans="2:4" x14ac:dyDescent="0.25">
      <c r="B75" s="32"/>
      <c r="C75" s="33"/>
      <c r="D75" s="34"/>
    </row>
    <row r="76" spans="2:4" x14ac:dyDescent="0.25">
      <c r="B76" s="32"/>
      <c r="C76" s="33"/>
      <c r="D76" s="34"/>
    </row>
    <row r="77" spans="2:4" x14ac:dyDescent="0.25">
      <c r="B77" s="32"/>
      <c r="C77" s="33"/>
      <c r="D77" s="34"/>
    </row>
    <row r="78" spans="2:4" x14ac:dyDescent="0.25">
      <c r="B78" s="32"/>
      <c r="C78" s="33"/>
      <c r="D78" s="34"/>
    </row>
    <row r="79" spans="2:4" x14ac:dyDescent="0.25">
      <c r="B79" s="32"/>
      <c r="C79" s="33"/>
      <c r="D79" s="34"/>
    </row>
    <row r="80" spans="2:4" x14ac:dyDescent="0.25">
      <c r="B80" s="32"/>
      <c r="C80" s="33"/>
      <c r="D80" s="34"/>
    </row>
    <row r="81" spans="2:4" x14ac:dyDescent="0.25">
      <c r="B81" s="32"/>
      <c r="C81" s="33"/>
      <c r="D81" s="35"/>
    </row>
    <row r="82" spans="2:4" x14ac:dyDescent="0.25">
      <c r="B82" s="32"/>
      <c r="C82" s="33"/>
      <c r="D82" s="35"/>
    </row>
    <row r="83" spans="2:4" x14ac:dyDescent="0.25">
      <c r="B83" s="32"/>
      <c r="C83" s="33"/>
      <c r="D83" s="34"/>
    </row>
    <row r="84" spans="2:4" x14ac:dyDescent="0.25">
      <c r="B84" s="32"/>
      <c r="C84" s="33"/>
      <c r="D84" s="34"/>
    </row>
    <row r="85" spans="2:4" x14ac:dyDescent="0.25">
      <c r="B85" s="32"/>
      <c r="C85" s="33"/>
      <c r="D85" s="34"/>
    </row>
    <row r="86" spans="2:4" x14ac:dyDescent="0.25">
      <c r="B86" s="32"/>
      <c r="C86" s="33"/>
      <c r="D86" s="34"/>
    </row>
    <row r="87" spans="2:4" x14ac:dyDescent="0.25">
      <c r="B87" s="32"/>
      <c r="C87" s="33"/>
      <c r="D87" s="34"/>
    </row>
    <row r="88" spans="2:4" x14ac:dyDescent="0.25">
      <c r="B88" s="32"/>
      <c r="C88" s="33"/>
      <c r="D88" s="34"/>
    </row>
    <row r="89" spans="2:4" x14ac:dyDescent="0.25">
      <c r="B89" s="32"/>
      <c r="C89" s="33"/>
      <c r="D89" s="34"/>
    </row>
    <row r="90" spans="2:4" x14ac:dyDescent="0.25">
      <c r="B90" s="32"/>
      <c r="C90" s="33"/>
      <c r="D90" s="34"/>
    </row>
    <row r="91" spans="2:4" x14ac:dyDescent="0.25">
      <c r="B91" s="32"/>
      <c r="C91" s="33"/>
      <c r="D91" s="34"/>
    </row>
    <row r="92" spans="2:4" x14ac:dyDescent="0.25">
      <c r="B92" s="32"/>
      <c r="C92" s="33"/>
      <c r="D92" s="34"/>
    </row>
    <row r="93" spans="2:4" x14ac:dyDescent="0.25">
      <c r="B93" s="32"/>
      <c r="C93" s="33"/>
      <c r="D93" s="34"/>
    </row>
    <row r="94" spans="2:4" x14ac:dyDescent="0.25">
      <c r="B94" s="32"/>
      <c r="C94" s="33"/>
      <c r="D94" s="35"/>
    </row>
    <row r="95" spans="2:4" x14ac:dyDescent="0.25">
      <c r="B95" s="32"/>
      <c r="C95" s="33"/>
      <c r="D95" s="35"/>
    </row>
    <row r="96" spans="2:4" x14ac:dyDescent="0.25">
      <c r="B96" s="32"/>
      <c r="C96" s="33"/>
      <c r="D96" s="35"/>
    </row>
    <row r="97" spans="2:28" x14ac:dyDescent="0.25">
      <c r="B97" s="32"/>
      <c r="C97" s="33"/>
      <c r="D97" s="34"/>
    </row>
    <row r="98" spans="2:28" x14ac:dyDescent="0.25">
      <c r="B98" s="32"/>
      <c r="C98" s="33"/>
      <c r="D98" s="34"/>
    </row>
    <row r="99" spans="2:28" x14ac:dyDescent="0.25">
      <c r="B99" s="32"/>
      <c r="C99" s="33"/>
      <c r="D99" s="34"/>
      <c r="Z99" s="24" t="s">
        <v>48</v>
      </c>
      <c r="AA99"/>
      <c r="AB99"/>
    </row>
    <row r="100" spans="2:28" x14ac:dyDescent="0.25">
      <c r="B100" s="32"/>
      <c r="C100" s="33"/>
      <c r="D100" s="34"/>
      <c r="Z100" s="24" t="s">
        <v>22</v>
      </c>
      <c r="AA100"/>
      <c r="AB100"/>
    </row>
    <row r="101" spans="2:28" x14ac:dyDescent="0.25">
      <c r="B101" s="32"/>
      <c r="C101" s="33"/>
      <c r="D101" s="34"/>
    </row>
    <row r="102" spans="2:28" x14ac:dyDescent="0.25">
      <c r="B102" s="32"/>
      <c r="C102" s="33"/>
      <c r="D102" s="34"/>
    </row>
    <row r="103" spans="2:28" x14ac:dyDescent="0.25">
      <c r="B103" s="32"/>
      <c r="C103" s="33"/>
      <c r="D103" s="34"/>
    </row>
    <row r="104" spans="2:28" x14ac:dyDescent="0.25">
      <c r="B104" s="32"/>
      <c r="C104" s="33"/>
      <c r="D104" s="34"/>
    </row>
    <row r="105" spans="2:28" x14ac:dyDescent="0.25">
      <c r="B105" s="32"/>
      <c r="C105" s="33"/>
      <c r="D105" s="34"/>
    </row>
    <row r="106" spans="2:28" x14ac:dyDescent="0.25">
      <c r="B106" s="32"/>
      <c r="C106" s="33"/>
      <c r="D106" s="34"/>
    </row>
    <row r="107" spans="2:28" x14ac:dyDescent="0.25">
      <c r="B107" s="32"/>
      <c r="C107" s="33"/>
      <c r="D107" s="34"/>
    </row>
    <row r="108" spans="2:28" x14ac:dyDescent="0.25">
      <c r="B108" s="32"/>
      <c r="C108" s="33"/>
      <c r="D108" s="34"/>
    </row>
    <row r="109" spans="2:28" x14ac:dyDescent="0.25">
      <c r="B109" s="32"/>
      <c r="C109" s="33"/>
      <c r="D109" s="34"/>
    </row>
    <row r="110" spans="2:28" x14ac:dyDescent="0.25">
      <c r="B110" s="32"/>
      <c r="C110" s="33"/>
      <c r="D110" s="34"/>
    </row>
    <row r="111" spans="2:28" x14ac:dyDescent="0.25">
      <c r="B111" s="32"/>
      <c r="C111" s="33"/>
      <c r="D111" s="34"/>
    </row>
    <row r="112" spans="2:28" x14ac:dyDescent="0.25">
      <c r="B112" s="32"/>
      <c r="C112" s="33"/>
      <c r="D112" s="34"/>
    </row>
    <row r="113" spans="2:4" x14ac:dyDescent="0.25">
      <c r="B113" s="32"/>
      <c r="C113" s="33"/>
      <c r="D113" s="34"/>
    </row>
    <row r="114" spans="2:4" x14ac:dyDescent="0.25">
      <c r="B114" s="32"/>
      <c r="C114" s="33"/>
      <c r="D114" s="34"/>
    </row>
    <row r="115" spans="2:4" x14ac:dyDescent="0.25">
      <c r="B115" s="32"/>
      <c r="C115" s="33"/>
      <c r="D115" s="34"/>
    </row>
    <row r="116" spans="2:4" x14ac:dyDescent="0.25">
      <c r="B116" s="32"/>
      <c r="C116" s="33"/>
      <c r="D116" s="35"/>
    </row>
    <row r="117" spans="2:4" x14ac:dyDescent="0.25">
      <c r="B117" s="32"/>
      <c r="C117" s="33"/>
      <c r="D117" s="34"/>
    </row>
    <row r="118" spans="2:4" x14ac:dyDescent="0.25">
      <c r="B118" s="32"/>
      <c r="C118" s="33"/>
      <c r="D118" s="34"/>
    </row>
    <row r="119" spans="2:4" x14ac:dyDescent="0.25">
      <c r="B119" s="32"/>
      <c r="C119" s="33"/>
      <c r="D119" s="34"/>
    </row>
    <row r="120" spans="2:4" x14ac:dyDescent="0.25">
      <c r="B120" s="32"/>
      <c r="C120" s="33"/>
      <c r="D120" s="34"/>
    </row>
    <row r="121" spans="2:4" x14ac:dyDescent="0.25">
      <c r="B121" s="32"/>
      <c r="C121" s="33"/>
      <c r="D121" s="34"/>
    </row>
    <row r="122" spans="2:4" x14ac:dyDescent="0.25">
      <c r="B122" s="32"/>
      <c r="C122" s="33"/>
      <c r="D122" s="34"/>
    </row>
    <row r="123" spans="2:4" x14ac:dyDescent="0.25">
      <c r="B123" s="32"/>
      <c r="C123" s="33"/>
      <c r="D123" s="34"/>
    </row>
    <row r="124" spans="2:4" x14ac:dyDescent="0.25">
      <c r="B124" s="32"/>
      <c r="C124" s="33"/>
      <c r="D124" s="34"/>
    </row>
  </sheetData>
  <mergeCells count="3">
    <mergeCell ref="F9:G9"/>
    <mergeCell ref="B8:E8"/>
    <mergeCell ref="G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E49F8-BDFB-4C8F-BB17-A85F5AACB357}">
  <sheetPr codeName="Planilha11"/>
  <dimension ref="A3:AE124"/>
  <sheetViews>
    <sheetView showGridLines="0" topLeftCell="B7" zoomScale="92" zoomScaleNormal="92" workbookViewId="0">
      <selection activeCell="G14" sqref="G14"/>
    </sheetView>
  </sheetViews>
  <sheetFormatPr defaultRowHeight="15" x14ac:dyDescent="0.25"/>
  <cols>
    <col min="1" max="1" width="2" customWidth="1"/>
    <col min="2" max="2" width="14" customWidth="1"/>
    <col min="3" max="4" width="31.42578125" customWidth="1"/>
    <col min="5" max="6" width="15.7109375" customWidth="1"/>
    <col min="7" max="7" width="14.7109375" customWidth="1"/>
    <col min="8" max="8" width="2.28515625" customWidth="1"/>
    <col min="9" max="9" width="11.42578125" customWidth="1"/>
    <col min="10" max="10" width="15" customWidth="1"/>
    <col min="11" max="11" width="36.42578125" customWidth="1"/>
    <col min="12" max="12" width="14.7109375" customWidth="1"/>
    <col min="13" max="13" width="40.5703125" customWidth="1"/>
    <col min="14" max="14" width="16.7109375" customWidth="1"/>
    <col min="15" max="15" width="10.5703125" customWidth="1"/>
    <col min="16" max="16" width="17.7109375" customWidth="1"/>
    <col min="17" max="18" width="14.85546875" customWidth="1"/>
    <col min="19" max="19" width="15.5703125" customWidth="1"/>
    <col min="27" max="30" width="8.7109375" style="1"/>
    <col min="31" max="31" width="10.28515625" style="1" customWidth="1"/>
  </cols>
  <sheetData>
    <row r="3" spans="1:26" s="1" customFormat="1" ht="15" customHeight="1" x14ac:dyDescent="0.25">
      <c r="A3"/>
      <c r="B3"/>
      <c r="C3" s="2"/>
      <c r="D3" s="2"/>
      <c r="E3" s="2"/>
      <c r="F3" s="2"/>
      <c r="G3" s="2"/>
      <c r="H3" s="19"/>
      <c r="I3" s="19"/>
      <c r="J3" s="19"/>
      <c r="K3" s="19"/>
      <c r="L3" s="19"/>
      <c r="M3" s="19"/>
      <c r="N3" s="19"/>
      <c r="O3" s="19"/>
      <c r="P3" s="19"/>
      <c r="Q3" s="19"/>
      <c r="R3" s="4"/>
      <c r="S3" s="4"/>
      <c r="T3" s="4"/>
      <c r="U3" s="3"/>
      <c r="V3" s="3"/>
      <c r="W3" s="3"/>
      <c r="X3" s="3"/>
      <c r="Y3" s="3"/>
      <c r="Z3"/>
    </row>
    <row r="4" spans="1:26" s="1" customFormat="1" ht="15" customHeight="1" x14ac:dyDescent="0.3">
      <c r="A4"/>
      <c r="B4"/>
      <c r="C4" s="2"/>
      <c r="D4" s="2"/>
      <c r="E4" s="2"/>
      <c r="F4" s="2"/>
      <c r="G4" s="2"/>
      <c r="H4" s="20"/>
      <c r="I4" s="20"/>
      <c r="J4" s="20"/>
      <c r="K4" s="20"/>
      <c r="L4" s="20"/>
      <c r="M4" s="21"/>
      <c r="N4" s="21"/>
      <c r="O4" s="19"/>
      <c r="P4" s="21"/>
      <c r="Q4" s="21"/>
      <c r="R4" s="18"/>
      <c r="S4" s="18"/>
      <c r="T4" s="18"/>
      <c r="U4" s="3"/>
      <c r="V4" s="3"/>
      <c r="W4" s="3"/>
      <c r="X4" s="3"/>
      <c r="Y4" s="3"/>
      <c r="Z4"/>
    </row>
    <row r="5" spans="1:26" s="1" customFormat="1" ht="15" customHeight="1" x14ac:dyDescent="0.3">
      <c r="A5"/>
      <c r="B5"/>
      <c r="C5" s="2"/>
      <c r="D5" s="2"/>
      <c r="E5" s="2"/>
      <c r="F5" s="2"/>
      <c r="G5" s="2"/>
      <c r="H5" s="20"/>
      <c r="I5" s="20"/>
      <c r="J5" s="20"/>
      <c r="K5" s="20"/>
      <c r="L5" s="20"/>
      <c r="M5" s="21"/>
      <c r="N5" s="21"/>
      <c r="O5" s="19"/>
      <c r="P5" s="21"/>
      <c r="Q5" s="22"/>
      <c r="R5" s="18"/>
      <c r="S5" s="18"/>
      <c r="T5" s="18"/>
      <c r="U5" s="3"/>
      <c r="V5" s="3"/>
      <c r="W5" s="3"/>
      <c r="X5" s="3"/>
      <c r="Y5" s="3"/>
      <c r="Z5"/>
    </row>
    <row r="6" spans="1:26" x14ac:dyDescent="0.25"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26" ht="15.75" thickBot="1" x14ac:dyDescent="0.3"/>
    <row r="8" spans="1:26" s="112" customFormat="1" ht="21" thickBot="1" x14ac:dyDescent="0.35">
      <c r="A8"/>
      <c r="B8" s="234" t="s">
        <v>156</v>
      </c>
      <c r="C8" s="235"/>
      <c r="D8" s="235"/>
      <c r="E8" s="235"/>
      <c r="F8" s="235"/>
      <c r="G8" s="236"/>
    </row>
    <row r="9" spans="1:26" ht="12.75" customHeight="1" thickBot="1" x14ac:dyDescent="0.3">
      <c r="C9" s="5"/>
      <c r="D9" s="5"/>
      <c r="H9" s="237"/>
      <c r="I9" s="237"/>
    </row>
    <row r="10" spans="1:26" ht="15.75" thickBot="1" x14ac:dyDescent="0.3">
      <c r="B10" s="113" t="s">
        <v>153</v>
      </c>
      <c r="C10" s="114" t="s">
        <v>151</v>
      </c>
      <c r="D10" s="114" t="s">
        <v>154</v>
      </c>
      <c r="E10" s="114" t="s">
        <v>150</v>
      </c>
      <c r="F10" s="114" t="s">
        <v>152</v>
      </c>
      <c r="G10" s="114" t="s">
        <v>155</v>
      </c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</row>
    <row r="11" spans="1:26" ht="15" customHeight="1" x14ac:dyDescent="0.25">
      <c r="B11" s="117">
        <v>1</v>
      </c>
      <c r="C11" s="118" t="s">
        <v>157</v>
      </c>
      <c r="D11" s="118" t="s">
        <v>158</v>
      </c>
      <c r="E11" s="119" t="s">
        <v>157</v>
      </c>
      <c r="F11" s="147" t="s">
        <v>159</v>
      </c>
      <c r="G11" s="157" t="s">
        <v>165</v>
      </c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</row>
    <row r="12" spans="1:26" s="1" customFormat="1" ht="15" customHeight="1" x14ac:dyDescent="0.25">
      <c r="A12"/>
      <c r="B12" s="128">
        <v>2</v>
      </c>
      <c r="C12" s="129" t="s">
        <v>161</v>
      </c>
      <c r="D12" s="129" t="s">
        <v>162</v>
      </c>
      <c r="E12" s="130" t="s">
        <v>163</v>
      </c>
      <c r="F12" s="148" t="s">
        <v>164</v>
      </c>
      <c r="G12" s="156" t="s">
        <v>160</v>
      </c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/>
      <c r="U12"/>
      <c r="V12"/>
      <c r="W12"/>
      <c r="X12"/>
    </row>
    <row r="13" spans="1:26" s="1" customFormat="1" ht="15" customHeight="1" x14ac:dyDescent="0.25">
      <c r="A13"/>
      <c r="B13" s="128">
        <v>3</v>
      </c>
      <c r="C13" s="129" t="s">
        <v>173</v>
      </c>
      <c r="D13" s="129" t="s">
        <v>174</v>
      </c>
      <c r="E13" s="130" t="s">
        <v>172</v>
      </c>
      <c r="F13" s="148" t="s">
        <v>164</v>
      </c>
      <c r="G13" s="156" t="s">
        <v>160</v>
      </c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/>
      <c r="U13"/>
      <c r="V13"/>
      <c r="W13"/>
      <c r="X13"/>
    </row>
    <row r="14" spans="1:26" s="1" customFormat="1" ht="15" customHeight="1" x14ac:dyDescent="0.25">
      <c r="A14"/>
      <c r="B14" s="128">
        <v>4</v>
      </c>
      <c r="C14" s="129" t="s">
        <v>175</v>
      </c>
      <c r="D14" s="129" t="s">
        <v>176</v>
      </c>
      <c r="E14" s="130" t="s">
        <v>177</v>
      </c>
      <c r="F14" s="148" t="s">
        <v>164</v>
      </c>
      <c r="G14" s="240" t="s">
        <v>160</v>
      </c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/>
      <c r="U14"/>
      <c r="V14"/>
      <c r="W14"/>
      <c r="X14"/>
    </row>
    <row r="15" spans="1:26" s="1" customFormat="1" ht="15" customHeight="1" x14ac:dyDescent="0.25">
      <c r="A15"/>
      <c r="B15" s="128"/>
      <c r="C15" s="132"/>
      <c r="D15" s="132"/>
      <c r="E15" s="130"/>
      <c r="F15" s="148"/>
      <c r="G15" s="148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/>
      <c r="U15"/>
      <c r="V15"/>
      <c r="W15"/>
      <c r="X15"/>
    </row>
    <row r="16" spans="1:26" s="1" customFormat="1" ht="15" customHeight="1" x14ac:dyDescent="0.25">
      <c r="A16"/>
      <c r="B16" s="128"/>
      <c r="C16" s="129"/>
      <c r="D16" s="129"/>
      <c r="E16" s="130"/>
      <c r="F16" s="148"/>
      <c r="G16" s="148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/>
      <c r="U16"/>
      <c r="V16"/>
      <c r="W16"/>
      <c r="X16"/>
    </row>
    <row r="17" spans="1:19" s="1" customFormat="1" ht="15" customHeight="1" x14ac:dyDescent="0.25">
      <c r="A17"/>
      <c r="B17" s="128"/>
      <c r="C17" s="129"/>
      <c r="D17" s="129"/>
      <c r="E17" s="130"/>
      <c r="F17" s="148"/>
      <c r="G17" s="148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</row>
    <row r="18" spans="1:19" s="1" customFormat="1" ht="15" customHeight="1" x14ac:dyDescent="0.25">
      <c r="A18"/>
      <c r="B18" s="128"/>
      <c r="C18" s="129"/>
      <c r="D18" s="129"/>
      <c r="E18" s="130"/>
      <c r="F18" s="148"/>
      <c r="G18" s="148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</row>
    <row r="19" spans="1:19" s="1" customFormat="1" ht="15" customHeight="1" x14ac:dyDescent="0.25">
      <c r="A19"/>
      <c r="B19" s="128"/>
      <c r="C19" s="129"/>
      <c r="D19" s="129"/>
      <c r="E19" s="130"/>
      <c r="F19" s="148"/>
      <c r="G19" s="148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</row>
    <row r="20" spans="1:19" s="1" customFormat="1" ht="15" customHeight="1" x14ac:dyDescent="0.25">
      <c r="A20"/>
      <c r="B20" s="128"/>
      <c r="C20" s="129"/>
      <c r="D20" s="129"/>
      <c r="E20" s="130"/>
      <c r="F20" s="148"/>
      <c r="G20" s="148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</row>
    <row r="21" spans="1:19" s="1" customFormat="1" ht="15" customHeight="1" x14ac:dyDescent="0.25">
      <c r="A21"/>
      <c r="B21" s="128"/>
      <c r="C21" s="129"/>
      <c r="D21" s="129"/>
      <c r="E21" s="130"/>
      <c r="F21" s="148"/>
      <c r="G21" s="148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</row>
    <row r="22" spans="1:19" s="1" customFormat="1" ht="15" customHeight="1" x14ac:dyDescent="0.25">
      <c r="A22"/>
      <c r="B22" s="128"/>
      <c r="C22" s="129"/>
      <c r="D22" s="129"/>
      <c r="E22" s="130"/>
      <c r="F22" s="148"/>
      <c r="G22" s="148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</row>
    <row r="23" spans="1:19" s="1" customFormat="1" ht="15" customHeight="1" x14ac:dyDescent="0.25">
      <c r="A23"/>
      <c r="B23" s="128"/>
      <c r="C23" s="129"/>
      <c r="D23" s="129"/>
      <c r="E23" s="130"/>
      <c r="F23" s="148"/>
      <c r="G23" s="148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</row>
    <row r="24" spans="1:19" s="1" customFormat="1" ht="15" customHeight="1" x14ac:dyDescent="0.25">
      <c r="A24"/>
      <c r="B24" s="128"/>
      <c r="C24" s="133"/>
      <c r="D24" s="133"/>
      <c r="E24" s="130"/>
      <c r="F24" s="148"/>
      <c r="G24" s="148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</row>
    <row r="25" spans="1:19" s="1" customFormat="1" ht="15" customHeight="1" x14ac:dyDescent="0.25">
      <c r="A25"/>
      <c r="B25" s="128"/>
      <c r="C25" s="129"/>
      <c r="D25" s="129"/>
      <c r="E25" s="130"/>
      <c r="F25" s="148"/>
      <c r="G25" s="148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</row>
    <row r="26" spans="1:19" s="1" customFormat="1" ht="15" customHeight="1" x14ac:dyDescent="0.25">
      <c r="A26"/>
      <c r="B26" s="128"/>
      <c r="C26" s="132"/>
      <c r="D26" s="132"/>
      <c r="E26" s="130"/>
      <c r="F26" s="148"/>
      <c r="G26" s="148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</row>
    <row r="27" spans="1:19" s="1" customFormat="1" ht="15" customHeight="1" x14ac:dyDescent="0.25">
      <c r="A27"/>
      <c r="B27" s="128"/>
      <c r="C27" s="129"/>
      <c r="D27" s="129"/>
      <c r="E27" s="130"/>
      <c r="F27" s="148"/>
      <c r="G27" s="148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</row>
    <row r="28" spans="1:19" s="1" customFormat="1" ht="15" customHeight="1" x14ac:dyDescent="0.25">
      <c r="A28"/>
      <c r="B28" s="128"/>
      <c r="C28" s="129"/>
      <c r="D28" s="129"/>
      <c r="E28" s="130"/>
      <c r="F28" s="148"/>
      <c r="G28" s="148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</row>
    <row r="29" spans="1:19" s="1" customFormat="1" ht="15" customHeight="1" x14ac:dyDescent="0.25">
      <c r="A29"/>
      <c r="B29" s="128"/>
      <c r="C29" s="129"/>
      <c r="D29" s="129"/>
      <c r="E29" s="130"/>
      <c r="F29" s="148"/>
      <c r="G29" s="148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</row>
    <row r="30" spans="1:19" s="1" customFormat="1" ht="15" customHeight="1" x14ac:dyDescent="0.25">
      <c r="A30"/>
      <c r="B30" s="128"/>
      <c r="C30" s="129"/>
      <c r="D30" s="129"/>
      <c r="E30" s="130"/>
      <c r="F30" s="148"/>
      <c r="G30" s="148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</row>
    <row r="31" spans="1:19" s="1" customFormat="1" ht="15" customHeight="1" x14ac:dyDescent="0.25">
      <c r="A31"/>
      <c r="B31" s="128"/>
      <c r="C31" s="132"/>
      <c r="D31" s="132"/>
      <c r="E31" s="137"/>
      <c r="F31" s="149"/>
      <c r="G31" s="149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</row>
    <row r="32" spans="1:19" s="1" customFormat="1" ht="15" customHeight="1" x14ac:dyDescent="0.25">
      <c r="A32"/>
      <c r="B32" s="128"/>
      <c r="C32" s="132"/>
      <c r="D32" s="132"/>
      <c r="E32" s="137"/>
      <c r="F32" s="149"/>
      <c r="G32" s="149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</row>
    <row r="33" spans="1:19" s="1" customFormat="1" ht="15" customHeight="1" x14ac:dyDescent="0.25">
      <c r="A33"/>
      <c r="B33" s="128"/>
      <c r="C33" s="133"/>
      <c r="D33" s="133"/>
      <c r="E33" s="137"/>
      <c r="F33" s="149"/>
      <c r="G33" s="149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</row>
    <row r="34" spans="1:19" s="1" customFormat="1" ht="15" customHeight="1" x14ac:dyDescent="0.25">
      <c r="B34" s="128"/>
      <c r="C34" s="132"/>
      <c r="D34" s="132"/>
      <c r="E34" s="137"/>
      <c r="F34" s="149"/>
      <c r="G34" s="149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</row>
    <row r="35" spans="1:19" s="1" customFormat="1" ht="15" customHeight="1" x14ac:dyDescent="0.25">
      <c r="B35" s="128"/>
      <c r="C35" s="132"/>
      <c r="D35" s="132"/>
      <c r="E35" s="137"/>
      <c r="F35" s="149"/>
      <c r="G35" s="149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</row>
    <row r="36" spans="1:19" s="1" customFormat="1" ht="15" customHeight="1" thickBot="1" x14ac:dyDescent="0.3">
      <c r="B36" s="138"/>
      <c r="C36" s="139"/>
      <c r="D36" s="139"/>
      <c r="E36" s="140"/>
      <c r="F36" s="150"/>
      <c r="G36" s="150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</row>
    <row r="37" spans="1:19" s="1" customFormat="1" x14ac:dyDescent="0.25">
      <c r="B37" s="32"/>
      <c r="C37" s="33"/>
      <c r="D37" s="33"/>
      <c r="E37" s="34"/>
      <c r="F37" s="34"/>
      <c r="G37"/>
    </row>
    <row r="38" spans="1:19" x14ac:dyDescent="0.25">
      <c r="B38" s="32"/>
      <c r="C38" s="33"/>
      <c r="D38" s="33"/>
      <c r="E38" s="34"/>
      <c r="F38" s="34"/>
    </row>
    <row r="39" spans="1:19" x14ac:dyDescent="0.25">
      <c r="B39" s="32"/>
      <c r="C39" s="33"/>
      <c r="D39" s="33"/>
      <c r="E39" s="35"/>
      <c r="F39" s="35"/>
    </row>
    <row r="40" spans="1:19" x14ac:dyDescent="0.25">
      <c r="B40" s="32"/>
      <c r="C40" s="33"/>
      <c r="D40" s="33"/>
      <c r="E40" s="34"/>
      <c r="F40" s="34"/>
    </row>
    <row r="41" spans="1:19" x14ac:dyDescent="0.25">
      <c r="B41" s="32"/>
      <c r="C41" s="33"/>
      <c r="D41" s="33"/>
      <c r="E41" s="34"/>
      <c r="F41" s="34"/>
    </row>
    <row r="42" spans="1:19" x14ac:dyDescent="0.25">
      <c r="B42" s="32"/>
      <c r="C42" s="33"/>
      <c r="D42" s="33"/>
      <c r="E42" s="34"/>
      <c r="F42" s="34"/>
    </row>
    <row r="43" spans="1:19" x14ac:dyDescent="0.25">
      <c r="B43" s="32"/>
      <c r="C43" s="33"/>
      <c r="D43" s="33"/>
      <c r="E43" s="34"/>
      <c r="F43" s="34"/>
    </row>
    <row r="44" spans="1:19" x14ac:dyDescent="0.25">
      <c r="B44" s="32"/>
      <c r="C44" s="33"/>
      <c r="D44" s="33"/>
      <c r="E44" s="34"/>
      <c r="F44" s="34"/>
    </row>
    <row r="45" spans="1:19" x14ac:dyDescent="0.25">
      <c r="B45" s="32"/>
      <c r="C45" s="33"/>
      <c r="D45" s="33"/>
      <c r="E45" s="34"/>
      <c r="F45" s="34"/>
    </row>
    <row r="46" spans="1:19" x14ac:dyDescent="0.25">
      <c r="B46" s="32"/>
      <c r="C46" s="33"/>
      <c r="D46" s="33"/>
      <c r="E46" s="34"/>
      <c r="F46" s="34"/>
    </row>
    <row r="47" spans="1:19" x14ac:dyDescent="0.25">
      <c r="B47" s="32"/>
      <c r="C47" s="33"/>
      <c r="D47" s="33"/>
      <c r="E47" s="34"/>
      <c r="F47" s="34"/>
    </row>
    <row r="48" spans="1:19" x14ac:dyDescent="0.25">
      <c r="B48" s="32"/>
      <c r="C48" s="33"/>
      <c r="D48" s="33"/>
      <c r="E48" s="34"/>
      <c r="F48" s="34"/>
    </row>
    <row r="49" spans="2:6" x14ac:dyDescent="0.25">
      <c r="B49" s="32"/>
      <c r="C49" s="33"/>
      <c r="D49" s="33"/>
      <c r="E49" s="34"/>
      <c r="F49" s="34"/>
    </row>
    <row r="50" spans="2:6" x14ac:dyDescent="0.25">
      <c r="B50" s="32"/>
      <c r="C50" s="33"/>
      <c r="D50" s="33"/>
      <c r="E50" s="34"/>
      <c r="F50" s="34"/>
    </row>
    <row r="51" spans="2:6" x14ac:dyDescent="0.25">
      <c r="B51" s="32"/>
      <c r="C51" s="33"/>
      <c r="D51" s="33"/>
      <c r="E51" s="34"/>
      <c r="F51" s="34"/>
    </row>
    <row r="52" spans="2:6" x14ac:dyDescent="0.25">
      <c r="B52" s="32"/>
      <c r="C52" s="33"/>
      <c r="D52" s="33"/>
      <c r="E52" s="34"/>
      <c r="F52" s="34"/>
    </row>
    <row r="53" spans="2:6" x14ac:dyDescent="0.25">
      <c r="B53" s="32"/>
      <c r="C53" s="33"/>
      <c r="D53" s="33"/>
      <c r="E53" s="34"/>
      <c r="F53" s="34"/>
    </row>
    <row r="54" spans="2:6" x14ac:dyDescent="0.25">
      <c r="B54" s="32"/>
      <c r="C54" s="33"/>
      <c r="D54" s="33"/>
      <c r="E54" s="34"/>
      <c r="F54" s="34"/>
    </row>
    <row r="55" spans="2:6" x14ac:dyDescent="0.25">
      <c r="B55" s="32"/>
      <c r="C55" s="33"/>
      <c r="D55" s="33"/>
      <c r="E55" s="34"/>
      <c r="F55" s="34"/>
    </row>
    <row r="56" spans="2:6" x14ac:dyDescent="0.25">
      <c r="B56" s="32"/>
      <c r="C56" s="33"/>
      <c r="D56" s="33"/>
      <c r="E56" s="34"/>
      <c r="F56" s="34"/>
    </row>
    <row r="57" spans="2:6" x14ac:dyDescent="0.25">
      <c r="B57" s="32"/>
      <c r="C57" s="33"/>
      <c r="D57" s="33"/>
      <c r="E57" s="34"/>
      <c r="F57" s="34"/>
    </row>
    <row r="58" spans="2:6" x14ac:dyDescent="0.25">
      <c r="B58" s="32"/>
      <c r="C58" s="33"/>
      <c r="D58" s="33"/>
      <c r="E58" s="34"/>
      <c r="F58" s="34"/>
    </row>
    <row r="59" spans="2:6" x14ac:dyDescent="0.25">
      <c r="B59" s="32"/>
      <c r="C59" s="33"/>
      <c r="D59" s="33"/>
      <c r="E59" s="34"/>
      <c r="F59" s="34"/>
    </row>
    <row r="60" spans="2:6" x14ac:dyDescent="0.25">
      <c r="B60" s="32"/>
      <c r="C60" s="33"/>
      <c r="D60" s="33"/>
      <c r="E60" s="34"/>
      <c r="F60" s="34"/>
    </row>
    <row r="61" spans="2:6" x14ac:dyDescent="0.25">
      <c r="B61" s="32"/>
      <c r="C61" s="33"/>
      <c r="D61" s="33"/>
      <c r="E61" s="34"/>
      <c r="F61" s="34"/>
    </row>
    <row r="62" spans="2:6" x14ac:dyDescent="0.25">
      <c r="B62" s="32"/>
      <c r="C62" s="33"/>
      <c r="D62" s="33"/>
      <c r="E62" s="34"/>
      <c r="F62" s="34"/>
    </row>
    <row r="63" spans="2:6" x14ac:dyDescent="0.25">
      <c r="B63" s="32"/>
      <c r="C63" s="33"/>
      <c r="D63" s="33"/>
      <c r="E63" s="34"/>
      <c r="F63" s="34"/>
    </row>
    <row r="64" spans="2:6" x14ac:dyDescent="0.25">
      <c r="B64" s="32"/>
      <c r="C64" s="33"/>
      <c r="D64" s="33"/>
      <c r="E64" s="34"/>
      <c r="F64" s="34"/>
    </row>
    <row r="65" spans="2:6" x14ac:dyDescent="0.25">
      <c r="B65" s="32"/>
      <c r="C65" s="33"/>
      <c r="D65" s="33"/>
      <c r="E65" s="34"/>
      <c r="F65" s="34"/>
    </row>
    <row r="66" spans="2:6" x14ac:dyDescent="0.25">
      <c r="B66" s="32"/>
      <c r="C66" s="33"/>
      <c r="D66" s="33"/>
      <c r="E66" s="34"/>
      <c r="F66" s="34"/>
    </row>
    <row r="67" spans="2:6" x14ac:dyDescent="0.25">
      <c r="B67" s="32"/>
      <c r="C67" s="33"/>
      <c r="D67" s="33"/>
      <c r="E67" s="34"/>
      <c r="F67" s="34"/>
    </row>
    <row r="68" spans="2:6" x14ac:dyDescent="0.25">
      <c r="B68" s="32"/>
      <c r="C68" s="33"/>
      <c r="D68" s="33"/>
      <c r="E68" s="34"/>
      <c r="F68" s="34"/>
    </row>
    <row r="69" spans="2:6" x14ac:dyDescent="0.25">
      <c r="B69" s="32"/>
      <c r="C69" s="33"/>
      <c r="D69" s="33"/>
      <c r="E69" s="34"/>
      <c r="F69" s="34"/>
    </row>
    <row r="70" spans="2:6" x14ac:dyDescent="0.25">
      <c r="B70" s="32"/>
      <c r="C70" s="33"/>
      <c r="D70" s="33"/>
      <c r="E70" s="34"/>
      <c r="F70" s="34"/>
    </row>
    <row r="71" spans="2:6" x14ac:dyDescent="0.25">
      <c r="B71" s="32"/>
      <c r="C71" s="33"/>
      <c r="D71" s="33"/>
      <c r="E71" s="34"/>
      <c r="F71" s="34"/>
    </row>
    <row r="72" spans="2:6" x14ac:dyDescent="0.25">
      <c r="B72" s="32"/>
      <c r="C72" s="33"/>
      <c r="D72" s="33"/>
      <c r="E72" s="34"/>
      <c r="F72" s="34"/>
    </row>
    <row r="73" spans="2:6" x14ac:dyDescent="0.25">
      <c r="B73" s="32"/>
      <c r="C73" s="33"/>
      <c r="D73" s="33"/>
      <c r="E73" s="34"/>
      <c r="F73" s="34"/>
    </row>
    <row r="74" spans="2:6" x14ac:dyDescent="0.25">
      <c r="B74" s="32"/>
      <c r="C74" s="33"/>
      <c r="D74" s="33"/>
      <c r="E74" s="34"/>
      <c r="F74" s="34"/>
    </row>
    <row r="75" spans="2:6" x14ac:dyDescent="0.25">
      <c r="B75" s="32"/>
      <c r="C75" s="33"/>
      <c r="D75" s="33"/>
      <c r="E75" s="34"/>
      <c r="F75" s="34"/>
    </row>
    <row r="76" spans="2:6" x14ac:dyDescent="0.25">
      <c r="B76" s="32"/>
      <c r="C76" s="33"/>
      <c r="D76" s="33"/>
      <c r="E76" s="34"/>
      <c r="F76" s="34"/>
    </row>
    <row r="77" spans="2:6" x14ac:dyDescent="0.25">
      <c r="B77" s="32"/>
      <c r="C77" s="33"/>
      <c r="D77" s="33"/>
      <c r="E77" s="34"/>
      <c r="F77" s="34"/>
    </row>
    <row r="78" spans="2:6" x14ac:dyDescent="0.25">
      <c r="B78" s="32"/>
      <c r="C78" s="33"/>
      <c r="D78" s="33"/>
      <c r="E78" s="34"/>
      <c r="F78" s="34"/>
    </row>
    <row r="79" spans="2:6" x14ac:dyDescent="0.25">
      <c r="B79" s="32"/>
      <c r="C79" s="33"/>
      <c r="D79" s="33"/>
      <c r="E79" s="34"/>
      <c r="F79" s="34"/>
    </row>
    <row r="80" spans="2:6" x14ac:dyDescent="0.25">
      <c r="B80" s="32"/>
      <c r="C80" s="33"/>
      <c r="D80" s="33"/>
      <c r="E80" s="34"/>
      <c r="F80" s="34"/>
    </row>
    <row r="81" spans="2:6" x14ac:dyDescent="0.25">
      <c r="B81" s="32"/>
      <c r="C81" s="33"/>
      <c r="D81" s="33"/>
      <c r="E81" s="35"/>
      <c r="F81" s="35"/>
    </row>
    <row r="82" spans="2:6" x14ac:dyDescent="0.25">
      <c r="B82" s="32"/>
      <c r="C82" s="33"/>
      <c r="D82" s="33"/>
      <c r="E82" s="35"/>
      <c r="F82" s="35"/>
    </row>
    <row r="83" spans="2:6" x14ac:dyDescent="0.25">
      <c r="B83" s="32"/>
      <c r="C83" s="33"/>
      <c r="D83" s="33"/>
      <c r="E83" s="34"/>
      <c r="F83" s="34"/>
    </row>
    <row r="84" spans="2:6" x14ac:dyDescent="0.25">
      <c r="B84" s="32"/>
      <c r="C84" s="33"/>
      <c r="D84" s="33"/>
      <c r="E84" s="34"/>
      <c r="F84" s="34"/>
    </row>
    <row r="85" spans="2:6" x14ac:dyDescent="0.25">
      <c r="B85" s="32"/>
      <c r="C85" s="33"/>
      <c r="D85" s="33"/>
      <c r="E85" s="34"/>
      <c r="F85" s="34"/>
    </row>
    <row r="86" spans="2:6" x14ac:dyDescent="0.25">
      <c r="B86" s="32"/>
      <c r="C86" s="33"/>
      <c r="D86" s="33"/>
      <c r="E86" s="34"/>
      <c r="F86" s="34"/>
    </row>
    <row r="87" spans="2:6" x14ac:dyDescent="0.25">
      <c r="B87" s="32"/>
      <c r="C87" s="33"/>
      <c r="D87" s="33"/>
      <c r="E87" s="34"/>
      <c r="F87" s="34"/>
    </row>
    <row r="88" spans="2:6" x14ac:dyDescent="0.25">
      <c r="B88" s="32"/>
      <c r="C88" s="33"/>
      <c r="D88" s="33"/>
      <c r="E88" s="34"/>
      <c r="F88" s="34"/>
    </row>
    <row r="89" spans="2:6" x14ac:dyDescent="0.25">
      <c r="B89" s="32"/>
      <c r="C89" s="33"/>
      <c r="D89" s="33"/>
      <c r="E89" s="34"/>
      <c r="F89" s="34"/>
    </row>
    <row r="90" spans="2:6" x14ac:dyDescent="0.25">
      <c r="B90" s="32"/>
      <c r="C90" s="33"/>
      <c r="D90" s="33"/>
      <c r="E90" s="34"/>
      <c r="F90" s="34"/>
    </row>
    <row r="91" spans="2:6" x14ac:dyDescent="0.25">
      <c r="B91" s="32"/>
      <c r="C91" s="33"/>
      <c r="D91" s="33"/>
      <c r="E91" s="34"/>
      <c r="F91" s="34"/>
    </row>
    <row r="92" spans="2:6" x14ac:dyDescent="0.25">
      <c r="B92" s="32"/>
      <c r="C92" s="33"/>
      <c r="D92" s="33"/>
      <c r="E92" s="34"/>
      <c r="F92" s="34"/>
    </row>
    <row r="93" spans="2:6" x14ac:dyDescent="0.25">
      <c r="B93" s="32"/>
      <c r="C93" s="33"/>
      <c r="D93" s="33"/>
      <c r="E93" s="34"/>
      <c r="F93" s="34"/>
    </row>
    <row r="94" spans="2:6" x14ac:dyDescent="0.25">
      <c r="B94" s="32"/>
      <c r="C94" s="33"/>
      <c r="D94" s="33"/>
      <c r="E94" s="35"/>
      <c r="F94" s="35"/>
    </row>
    <row r="95" spans="2:6" x14ac:dyDescent="0.25">
      <c r="B95" s="32"/>
      <c r="C95" s="33"/>
      <c r="D95" s="33"/>
      <c r="E95" s="35"/>
      <c r="F95" s="35"/>
    </row>
    <row r="96" spans="2:6" x14ac:dyDescent="0.25">
      <c r="B96" s="32"/>
      <c r="C96" s="33"/>
      <c r="D96" s="33"/>
      <c r="E96" s="35"/>
      <c r="F96" s="35"/>
    </row>
    <row r="97" spans="2:30" x14ac:dyDescent="0.25">
      <c r="B97" s="32"/>
      <c r="C97" s="33"/>
      <c r="D97" s="33"/>
      <c r="E97" s="34"/>
      <c r="F97" s="34"/>
    </row>
    <row r="98" spans="2:30" x14ac:dyDescent="0.25">
      <c r="B98" s="32"/>
      <c r="C98" s="33"/>
      <c r="D98" s="33"/>
      <c r="E98" s="34"/>
      <c r="F98" s="34"/>
    </row>
    <row r="99" spans="2:30" x14ac:dyDescent="0.25">
      <c r="B99" s="32"/>
      <c r="C99" s="33"/>
      <c r="D99" s="33"/>
      <c r="E99" s="34"/>
      <c r="F99" s="34"/>
      <c r="AB99" s="24" t="s">
        <v>48</v>
      </c>
      <c r="AC99"/>
      <c r="AD99"/>
    </row>
    <row r="100" spans="2:30" x14ac:dyDescent="0.25">
      <c r="B100" s="32"/>
      <c r="C100" s="33"/>
      <c r="D100" s="33"/>
      <c r="E100" s="34"/>
      <c r="F100" s="34"/>
      <c r="AB100" s="24" t="s">
        <v>22</v>
      </c>
      <c r="AC100"/>
      <c r="AD100"/>
    </row>
    <row r="101" spans="2:30" x14ac:dyDescent="0.25">
      <c r="B101" s="32"/>
      <c r="C101" s="33"/>
      <c r="D101" s="33"/>
      <c r="E101" s="34"/>
      <c r="F101" s="34"/>
    </row>
    <row r="102" spans="2:30" x14ac:dyDescent="0.25">
      <c r="B102" s="32"/>
      <c r="C102" s="33"/>
      <c r="D102" s="33"/>
      <c r="E102" s="34"/>
      <c r="F102" s="34"/>
    </row>
    <row r="103" spans="2:30" x14ac:dyDescent="0.25">
      <c r="B103" s="32"/>
      <c r="C103" s="33"/>
      <c r="D103" s="33"/>
      <c r="E103" s="34"/>
      <c r="F103" s="34"/>
    </row>
    <row r="104" spans="2:30" x14ac:dyDescent="0.25">
      <c r="B104" s="32"/>
      <c r="C104" s="33"/>
      <c r="D104" s="33"/>
      <c r="E104" s="34"/>
      <c r="F104" s="34"/>
    </row>
    <row r="105" spans="2:30" x14ac:dyDescent="0.25">
      <c r="B105" s="32"/>
      <c r="C105" s="33"/>
      <c r="D105" s="33"/>
      <c r="E105" s="34"/>
      <c r="F105" s="34"/>
    </row>
    <row r="106" spans="2:30" x14ac:dyDescent="0.25">
      <c r="B106" s="32"/>
      <c r="C106" s="33"/>
      <c r="D106" s="33"/>
      <c r="E106" s="34"/>
      <c r="F106" s="34"/>
    </row>
    <row r="107" spans="2:30" x14ac:dyDescent="0.25">
      <c r="B107" s="32"/>
      <c r="C107" s="33"/>
      <c r="D107" s="33"/>
      <c r="E107" s="34"/>
      <c r="F107" s="34"/>
    </row>
    <row r="108" spans="2:30" x14ac:dyDescent="0.25">
      <c r="B108" s="32"/>
      <c r="C108" s="33"/>
      <c r="D108" s="33"/>
      <c r="E108" s="34"/>
      <c r="F108" s="34"/>
    </row>
    <row r="109" spans="2:30" x14ac:dyDescent="0.25">
      <c r="B109" s="32"/>
      <c r="C109" s="33"/>
      <c r="D109" s="33"/>
      <c r="E109" s="34"/>
      <c r="F109" s="34"/>
    </row>
    <row r="110" spans="2:30" x14ac:dyDescent="0.25">
      <c r="B110" s="32"/>
      <c r="C110" s="33"/>
      <c r="D110" s="33"/>
      <c r="E110" s="34"/>
      <c r="F110" s="34"/>
    </row>
    <row r="111" spans="2:30" x14ac:dyDescent="0.25">
      <c r="B111" s="32"/>
      <c r="C111" s="33"/>
      <c r="D111" s="33"/>
      <c r="E111" s="34"/>
      <c r="F111" s="34"/>
    </row>
    <row r="112" spans="2:30" x14ac:dyDescent="0.25">
      <c r="B112" s="32"/>
      <c r="C112" s="33"/>
      <c r="D112" s="33"/>
      <c r="E112" s="34"/>
      <c r="F112" s="34"/>
    </row>
    <row r="113" spans="2:6" x14ac:dyDescent="0.25">
      <c r="B113" s="32"/>
      <c r="C113" s="33"/>
      <c r="D113" s="33"/>
      <c r="E113" s="34"/>
      <c r="F113" s="34"/>
    </row>
    <row r="114" spans="2:6" x14ac:dyDescent="0.25">
      <c r="B114" s="32"/>
      <c r="C114" s="33"/>
      <c r="D114" s="33"/>
      <c r="E114" s="34"/>
      <c r="F114" s="34"/>
    </row>
    <row r="115" spans="2:6" x14ac:dyDescent="0.25">
      <c r="B115" s="32"/>
      <c r="C115" s="33"/>
      <c r="D115" s="33"/>
      <c r="E115" s="34"/>
      <c r="F115" s="34"/>
    </row>
    <row r="116" spans="2:6" x14ac:dyDescent="0.25">
      <c r="B116" s="32"/>
      <c r="C116" s="33"/>
      <c r="D116" s="33"/>
      <c r="E116" s="35"/>
      <c r="F116" s="35"/>
    </row>
    <row r="117" spans="2:6" x14ac:dyDescent="0.25">
      <c r="B117" s="32"/>
      <c r="C117" s="33"/>
      <c r="D117" s="33"/>
      <c r="E117" s="34"/>
      <c r="F117" s="34"/>
    </row>
    <row r="118" spans="2:6" x14ac:dyDescent="0.25">
      <c r="B118" s="32"/>
      <c r="C118" s="33"/>
      <c r="D118" s="33"/>
      <c r="E118" s="34"/>
      <c r="F118" s="34"/>
    </row>
    <row r="119" spans="2:6" x14ac:dyDescent="0.25">
      <c r="B119" s="32"/>
      <c r="C119" s="33"/>
      <c r="D119" s="33"/>
      <c r="E119" s="34"/>
      <c r="F119" s="34"/>
    </row>
    <row r="120" spans="2:6" x14ac:dyDescent="0.25">
      <c r="B120" s="32"/>
      <c r="C120" s="33"/>
      <c r="D120" s="33"/>
      <c r="E120" s="34"/>
      <c r="F120" s="34"/>
    </row>
    <row r="121" spans="2:6" x14ac:dyDescent="0.25">
      <c r="B121" s="32"/>
      <c r="C121" s="33"/>
      <c r="D121" s="33"/>
      <c r="E121" s="34"/>
      <c r="F121" s="34"/>
    </row>
    <row r="122" spans="2:6" x14ac:dyDescent="0.25">
      <c r="B122" s="32"/>
      <c r="C122" s="33"/>
      <c r="D122" s="33"/>
      <c r="E122" s="34"/>
      <c r="F122" s="34"/>
    </row>
    <row r="123" spans="2:6" x14ac:dyDescent="0.25">
      <c r="B123" s="32"/>
      <c r="C123" s="33"/>
      <c r="D123" s="33"/>
      <c r="E123" s="34"/>
      <c r="F123" s="34"/>
    </row>
    <row r="124" spans="2:6" x14ac:dyDescent="0.25">
      <c r="B124" s="32"/>
      <c r="C124" s="33"/>
      <c r="D124" s="33"/>
      <c r="E124" s="34"/>
      <c r="F124" s="34"/>
    </row>
  </sheetData>
  <mergeCells count="2">
    <mergeCell ref="B8:G8"/>
    <mergeCell ref="H9: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CONTAS</vt:lpstr>
      <vt:lpstr>OPERACIONAL</vt:lpstr>
      <vt:lpstr>PEDIDOS</vt:lpstr>
      <vt:lpstr>ENCERRAR</vt:lpstr>
      <vt:lpstr>VENDAS</vt:lpstr>
      <vt:lpstr>SUBTOTAL</vt:lpstr>
      <vt:lpstr>CONSOLIDAR</vt:lpstr>
      <vt:lpstr>TAB_DINAMICA</vt:lpstr>
      <vt:lpstr>GRAFICO</vt:lpstr>
      <vt:lpstr>PRODUTOS_PEDIDOS</vt:lpstr>
      <vt:lpstr>CONTAS_LOGIN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Etec de Sapopemba</dc:creator>
  <cp:lastModifiedBy>HENRIQUE DE SA CONTIN</cp:lastModifiedBy>
  <dcterms:created xsi:type="dcterms:W3CDTF">2023-04-03T17:39:39Z</dcterms:created>
  <dcterms:modified xsi:type="dcterms:W3CDTF">2025-09-09T15:33:46Z</dcterms:modified>
</cp:coreProperties>
</file>